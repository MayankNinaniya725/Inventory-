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EE Fabricom\"/>
    </mc:Choice>
  </mc:AlternateContent>
  <xr:revisionPtr revIDLastSave="0" documentId="13_ncr:1_{82C80207-9BD8-4AAD-9B18-5BD547A788C9}" xr6:coauthVersionLast="47" xr6:coauthVersionMax="47" xr10:uidLastSave="{00000000-0000-0000-0000-000000000000}"/>
  <bookViews>
    <workbookView xWindow="-108" yWindow="-108" windowWidth="23256" windowHeight="12456" firstSheet="3" activeTab="3" xr2:uid="{28D8CF7F-5D0E-4387-94E6-B598A64C81A2}"/>
  </bookViews>
  <sheets>
    <sheet name="Sheet5" sheetId="7" state="hidden" r:id="rId1"/>
    <sheet name="Sheet1" sheetId="9" state="hidden" r:id="rId2"/>
    <sheet name="Sheet2" sheetId="10" state="hidden" r:id="rId3"/>
    <sheet name="Working" sheetId="1" r:id="rId4"/>
    <sheet name="Sheet6" sheetId="8" state="hidden" r:id="rId5"/>
    <sheet name="Summary" sheetId="2" r:id="rId6"/>
  </sheets>
  <externalReferences>
    <externalReference r:id="rId7"/>
    <externalReference r:id="rId8"/>
    <externalReference r:id="rId9"/>
    <externalReference r:id="rId10"/>
    <externalReference r:id="rId11"/>
  </externalReferences>
  <definedNames>
    <definedName name="_xlnm._FilterDatabase" localSheetId="1" hidden="1">Sheet1!$B$3:$R$61</definedName>
    <definedName name="_xlnm._FilterDatabase" localSheetId="0" hidden="1">Sheet5!$A$4:$F$58</definedName>
    <definedName name="_xlnm._FilterDatabase" localSheetId="4" hidden="1">Sheet6!$A$1:$D$17</definedName>
    <definedName name="_xlnm._FilterDatabase" localSheetId="3" hidden="1">Working!$A$2:$AB$229</definedName>
    <definedName name="_xlcn.WorksheetConnection_PaintStockWorkingIssueSlipEntry.xlsxTable11" hidden="1">Table1</definedName>
    <definedName name="_xlnm.Print_Area" localSheetId="3">Working!$A$2:$Q$218</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aint Stock Working - Issue Slip Entr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 l="1"/>
  <c r="L24" i="10"/>
  <c r="R61" i="9"/>
  <c r="R41" i="9"/>
  <c r="R40" i="9"/>
  <c r="R39" i="9"/>
  <c r="R38" i="9"/>
  <c r="R37" i="9"/>
  <c r="R36" i="9"/>
  <c r="R35" i="9"/>
  <c r="R34" i="9"/>
  <c r="R33" i="9"/>
  <c r="R32" i="9"/>
  <c r="R29" i="9"/>
  <c r="R28" i="9"/>
  <c r="R22" i="9"/>
  <c r="R21" i="9"/>
  <c r="R18" i="9"/>
  <c r="R14" i="9"/>
  <c r="R13" i="9"/>
  <c r="R12" i="9"/>
  <c r="R11" i="9"/>
  <c r="R10"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H53" i="9" l="1"/>
  <c r="H46" i="9"/>
  <c r="H44" i="9"/>
  <c r="H42" i="9"/>
  <c r="H31" i="9"/>
  <c r="H30" i="9"/>
  <c r="H27" i="9"/>
  <c r="H26" i="9"/>
  <c r="H25" i="9"/>
  <c r="H24" i="9"/>
  <c r="H20" i="9"/>
  <c r="H19" i="9"/>
  <c r="H17" i="9"/>
  <c r="H16" i="9"/>
  <c r="H15" i="9"/>
  <c r="H9" i="9"/>
  <c r="H4" i="9"/>
  <c r="R42" i="9"/>
  <c r="R31" i="9"/>
  <c r="R30" i="9"/>
  <c r="R27" i="9"/>
  <c r="R26" i="9"/>
  <c r="R25" i="9"/>
  <c r="R24" i="9"/>
  <c r="R20" i="9"/>
  <c r="R19" i="9"/>
  <c r="R17" i="9"/>
  <c r="R16" i="9"/>
  <c r="R15" i="9"/>
  <c r="R9" i="9"/>
  <c r="L53" i="9"/>
  <c r="R53" i="9" s="1"/>
  <c r="L47" i="9"/>
  <c r="L46" i="9"/>
  <c r="R46" i="9" s="1"/>
  <c r="L45" i="9"/>
  <c r="L44" i="9"/>
  <c r="R44" i="9" s="1"/>
  <c r="L43" i="9"/>
  <c r="L58" i="9"/>
  <c r="L57" i="9"/>
  <c r="L55" i="9"/>
  <c r="L51" i="9"/>
  <c r="L50" i="9"/>
  <c r="L49" i="9"/>
  <c r="L48" i="9"/>
  <c r="L41" i="9"/>
  <c r="L40" i="9"/>
  <c r="L39" i="9"/>
  <c r="L38" i="9"/>
  <c r="L37" i="9"/>
  <c r="L36" i="9"/>
  <c r="L35" i="9"/>
  <c r="L34" i="9"/>
  <c r="L33" i="9"/>
  <c r="L32" i="9"/>
  <c r="L29" i="9"/>
  <c r="L28" i="9"/>
  <c r="L23" i="9"/>
  <c r="L22" i="9"/>
  <c r="L21" i="9"/>
  <c r="L18" i="9"/>
  <c r="L14" i="9"/>
  <c r="L13" i="9"/>
  <c r="L12" i="9"/>
  <c r="L11" i="9"/>
  <c r="L10" i="9"/>
  <c r="L8" i="9"/>
  <c r="L7" i="9"/>
  <c r="F53" i="9"/>
  <c r="F46" i="9"/>
  <c r="F44" i="9"/>
  <c r="F42" i="9"/>
  <c r="F31" i="9"/>
  <c r="F30" i="9"/>
  <c r="F27" i="9"/>
  <c r="F26" i="9"/>
  <c r="F25" i="9"/>
  <c r="F24" i="9"/>
  <c r="F20" i="9"/>
  <c r="F19" i="9"/>
  <c r="F17" i="9"/>
  <c r="F16" i="9"/>
  <c r="F15" i="9"/>
  <c r="F9" i="9"/>
  <c r="F4" i="9"/>
  <c r="D56" i="9"/>
  <c r="F56" i="9" s="1"/>
  <c r="D54" i="9"/>
  <c r="F54" i="9" s="1"/>
  <c r="D52" i="9"/>
  <c r="F52" i="9" s="1"/>
  <c r="D47" i="9"/>
  <c r="F47" i="9" s="1"/>
  <c r="D45" i="9"/>
  <c r="F45" i="9" s="1"/>
  <c r="D43" i="9"/>
  <c r="F43" i="9" s="1"/>
  <c r="D6" i="9"/>
  <c r="F6" i="9" s="1"/>
  <c r="D5" i="9"/>
  <c r="F5" i="9" s="1"/>
  <c r="D58" i="9"/>
  <c r="D57" i="9"/>
  <c r="D55" i="9"/>
  <c r="F55" i="9" s="1"/>
  <c r="D51" i="9"/>
  <c r="F51" i="9" s="1"/>
  <c r="D50" i="9"/>
  <c r="F50" i="9" s="1"/>
  <c r="D49" i="9"/>
  <c r="F49" i="9" s="1"/>
  <c r="D48" i="9"/>
  <c r="F48" i="9" s="1"/>
  <c r="D41" i="9"/>
  <c r="F41" i="9" s="1"/>
  <c r="D40" i="9"/>
  <c r="F40" i="9" s="1"/>
  <c r="D39" i="9"/>
  <c r="F39" i="9" s="1"/>
  <c r="D38" i="9"/>
  <c r="F38" i="9" s="1"/>
  <c r="D37" i="9"/>
  <c r="F37" i="9" s="1"/>
  <c r="D36" i="9"/>
  <c r="F36" i="9" s="1"/>
  <c r="D35" i="9"/>
  <c r="F35" i="9" s="1"/>
  <c r="D34" i="9"/>
  <c r="F34" i="9" s="1"/>
  <c r="D33" i="9"/>
  <c r="F33" i="9" s="1"/>
  <c r="D32" i="9"/>
  <c r="F32" i="9" s="1"/>
  <c r="D29" i="9"/>
  <c r="F29" i="9" s="1"/>
  <c r="D28" i="9"/>
  <c r="F28" i="9" s="1"/>
  <c r="D23" i="9"/>
  <c r="F23" i="9" s="1"/>
  <c r="D22" i="9"/>
  <c r="F22" i="9" s="1"/>
  <c r="D21" i="9"/>
  <c r="F21" i="9" s="1"/>
  <c r="D18" i="9"/>
  <c r="F18" i="9" s="1"/>
  <c r="D14" i="9"/>
  <c r="F14" i="9" s="1"/>
  <c r="D13" i="9"/>
  <c r="F13" i="9" s="1"/>
  <c r="D12" i="9"/>
  <c r="F12" i="9" s="1"/>
  <c r="D11" i="9"/>
  <c r="F11" i="9" s="1"/>
  <c r="D10" i="9"/>
  <c r="F10" i="9" s="1"/>
  <c r="D8" i="9"/>
  <c r="F8" i="9" s="1"/>
  <c r="D7" i="9"/>
  <c r="F7" i="9" s="1"/>
  <c r="J1" i="1"/>
  <c r="L149" i="1"/>
  <c r="H36" i="9" l="1"/>
  <c r="H29" i="9"/>
  <c r="H12" i="9"/>
  <c r="H28" i="9"/>
  <c r="H52" i="9"/>
  <c r="H13" i="9"/>
  <c r="H37" i="9"/>
  <c r="H45" i="9"/>
  <c r="H8" i="9"/>
  <c r="H32" i="9"/>
  <c r="H40" i="9"/>
  <c r="H56" i="9"/>
  <c r="H58" i="9"/>
  <c r="H57" i="9"/>
  <c r="H11" i="9"/>
  <c r="H35" i="9"/>
  <c r="H43" i="9"/>
  <c r="H51" i="9"/>
  <c r="H21" i="9"/>
  <c r="H6" i="9"/>
  <c r="H14" i="9"/>
  <c r="H22" i="9"/>
  <c r="H38" i="9"/>
  <c r="H54" i="9"/>
  <c r="H5" i="9"/>
  <c r="H7" i="9"/>
  <c r="H23" i="9"/>
  <c r="H39" i="9"/>
  <c r="H47" i="9"/>
  <c r="H55" i="9"/>
  <c r="H33" i="9"/>
  <c r="H41" i="9"/>
  <c r="H49" i="9"/>
  <c r="H48" i="9"/>
  <c r="H10" i="9"/>
  <c r="H18" i="9"/>
  <c r="H34" i="9"/>
  <c r="H50" i="9"/>
  <c r="R55" i="9"/>
  <c r="R23" i="9"/>
  <c r="R51" i="9"/>
  <c r="R47" i="9"/>
  <c r="R57" i="9"/>
  <c r="R58" i="9"/>
  <c r="R43" i="9"/>
  <c r="R48" i="9"/>
  <c r="R7" i="9"/>
  <c r="R49" i="9"/>
  <c r="R45" i="9"/>
  <c r="R8" i="9"/>
  <c r="R50" i="9"/>
  <c r="P53" i="9" l="1"/>
  <c r="P46" i="9"/>
  <c r="P44" i="9"/>
  <c r="P42" i="9"/>
  <c r="P31" i="9"/>
  <c r="P30" i="9"/>
  <c r="P27" i="9"/>
  <c r="P26" i="9"/>
  <c r="P25" i="9"/>
  <c r="P24" i="9"/>
  <c r="P20" i="9"/>
  <c r="P19" i="9"/>
  <c r="P17" i="9"/>
  <c r="P16" i="9"/>
  <c r="P15" i="9"/>
  <c r="P9" i="9"/>
  <c r="K47" i="9" l="1"/>
  <c r="P47" i="9" s="1"/>
  <c r="K45" i="9"/>
  <c r="P45" i="9" s="1"/>
  <c r="K43" i="9"/>
  <c r="P43" i="9" s="1"/>
  <c r="K58" i="9"/>
  <c r="K57" i="9"/>
  <c r="K56" i="9"/>
  <c r="K55" i="9"/>
  <c r="P55" i="9" s="1"/>
  <c r="K54" i="9"/>
  <c r="K52" i="9"/>
  <c r="K51" i="9"/>
  <c r="P51" i="9" s="1"/>
  <c r="K50" i="9"/>
  <c r="P50" i="9" s="1"/>
  <c r="K49" i="9"/>
  <c r="P49" i="9" s="1"/>
  <c r="K48" i="9"/>
  <c r="P48" i="9" s="1"/>
  <c r="K41" i="9"/>
  <c r="P41" i="9" s="1"/>
  <c r="K40" i="9"/>
  <c r="P40" i="9" s="1"/>
  <c r="K39" i="9"/>
  <c r="P39" i="9" s="1"/>
  <c r="K38" i="9"/>
  <c r="P38" i="9" s="1"/>
  <c r="K37" i="9"/>
  <c r="P37" i="9" s="1"/>
  <c r="K36" i="9"/>
  <c r="P36" i="9" s="1"/>
  <c r="K35" i="9"/>
  <c r="P35" i="9" s="1"/>
  <c r="K34" i="9"/>
  <c r="P34" i="9" s="1"/>
  <c r="K33" i="9"/>
  <c r="P33" i="9" s="1"/>
  <c r="K32" i="9"/>
  <c r="P32" i="9" s="1"/>
  <c r="K29" i="9"/>
  <c r="P29" i="9" s="1"/>
  <c r="K28" i="9"/>
  <c r="P28" i="9" s="1"/>
  <c r="K23" i="9"/>
  <c r="P23" i="9" s="1"/>
  <c r="K22" i="9"/>
  <c r="P22" i="9" s="1"/>
  <c r="K21" i="9"/>
  <c r="P21" i="9" s="1"/>
  <c r="K18" i="9"/>
  <c r="P18" i="9" s="1"/>
  <c r="K14" i="9"/>
  <c r="P14" i="9" s="1"/>
  <c r="K13" i="9"/>
  <c r="P13" i="9" s="1"/>
  <c r="K12" i="9"/>
  <c r="P12" i="9" s="1"/>
  <c r="K11" i="9"/>
  <c r="P11" i="9" s="1"/>
  <c r="K10" i="9"/>
  <c r="P10" i="9" s="1"/>
  <c r="K8" i="9"/>
  <c r="P8" i="9" s="1"/>
  <c r="K7" i="9"/>
  <c r="P7" i="9" s="1"/>
  <c r="K6" i="9"/>
  <c r="K5" i="9"/>
  <c r="K4" i="9"/>
  <c r="E58" i="9"/>
  <c r="F58" i="9" s="1"/>
  <c r="E57" i="9"/>
  <c r="F57" i="9" s="1"/>
  <c r="J56" i="9"/>
  <c r="J55" i="9"/>
  <c r="J54" i="9"/>
  <c r="J53" i="9"/>
  <c r="M53" i="9" s="1"/>
  <c r="N53" i="9" s="1"/>
  <c r="J52" i="9"/>
  <c r="J51" i="9"/>
  <c r="J50" i="9"/>
  <c r="J49" i="9"/>
  <c r="J48" i="9"/>
  <c r="J47" i="9"/>
  <c r="J46" i="9"/>
  <c r="J45" i="9"/>
  <c r="J44" i="9"/>
  <c r="M44" i="9" s="1"/>
  <c r="N44" i="9" s="1"/>
  <c r="J43" i="9"/>
  <c r="J42" i="9"/>
  <c r="M42" i="9" s="1"/>
  <c r="N42" i="9" s="1"/>
  <c r="J41" i="9"/>
  <c r="J40" i="9"/>
  <c r="J39" i="9"/>
  <c r="J38" i="9"/>
  <c r="J37" i="9"/>
  <c r="J36" i="9"/>
  <c r="J35" i="9"/>
  <c r="J34" i="9"/>
  <c r="J33" i="9"/>
  <c r="J32" i="9"/>
  <c r="J31" i="9"/>
  <c r="J30" i="9"/>
  <c r="M30" i="9" s="1"/>
  <c r="N30" i="9" s="1"/>
  <c r="J29" i="9"/>
  <c r="J28" i="9"/>
  <c r="J27" i="9"/>
  <c r="M27" i="9" s="1"/>
  <c r="N27" i="9" s="1"/>
  <c r="J26" i="9"/>
  <c r="M26" i="9" s="1"/>
  <c r="N26" i="9" s="1"/>
  <c r="J25" i="9"/>
  <c r="M25" i="9" s="1"/>
  <c r="N25" i="9" s="1"/>
  <c r="J24" i="9"/>
  <c r="J23" i="9"/>
  <c r="J22" i="9"/>
  <c r="J21" i="9"/>
  <c r="J20" i="9"/>
  <c r="J19" i="9"/>
  <c r="M19" i="9" s="1"/>
  <c r="N19" i="9" s="1"/>
  <c r="J18" i="9"/>
  <c r="J17" i="9"/>
  <c r="M17" i="9" s="1"/>
  <c r="N17" i="9" s="1"/>
  <c r="J16" i="9"/>
  <c r="J15" i="9"/>
  <c r="J14" i="9"/>
  <c r="J13" i="9"/>
  <c r="J12" i="9"/>
  <c r="J11" i="9"/>
  <c r="J10" i="9"/>
  <c r="J9" i="9"/>
  <c r="M9" i="9" s="1"/>
  <c r="N9" i="9" s="1"/>
  <c r="J8" i="9"/>
  <c r="J7" i="9"/>
  <c r="J6" i="9"/>
  <c r="J5" i="9"/>
  <c r="J4" i="9"/>
  <c r="I2" i="9"/>
  <c r="I197" i="1"/>
  <c r="I202" i="1"/>
  <c r="I199" i="1"/>
  <c r="I194" i="1"/>
  <c r="I201" i="1"/>
  <c r="I114" i="1"/>
  <c r="I116" i="1"/>
  <c r="I121" i="1"/>
  <c r="I120" i="1"/>
  <c r="I183" i="1"/>
  <c r="I200" i="1"/>
  <c r="I192" i="1"/>
  <c r="I189" i="1"/>
  <c r="I181" i="1"/>
  <c r="I124" i="1"/>
  <c r="I126" i="1"/>
  <c r="I125" i="1"/>
  <c r="I110" i="1"/>
  <c r="I94" i="1"/>
  <c r="I119" i="1"/>
  <c r="I103" i="1"/>
  <c r="I112" i="1"/>
  <c r="P54" i="9" l="1"/>
  <c r="L54" i="9"/>
  <c r="R54" i="9" s="1"/>
  <c r="P5" i="9"/>
  <c r="L5" i="9"/>
  <c r="R5" i="9" s="1"/>
  <c r="P56" i="9"/>
  <c r="L56" i="9"/>
  <c r="R56" i="9" s="1"/>
  <c r="P6" i="9"/>
  <c r="L6" i="9"/>
  <c r="R6" i="9" s="1"/>
  <c r="P4" i="9"/>
  <c r="L4" i="9"/>
  <c r="R4" i="9" s="1"/>
  <c r="P52" i="9"/>
  <c r="L52" i="9"/>
  <c r="R52" i="9" s="1"/>
  <c r="M34" i="9"/>
  <c r="N34" i="9" s="1"/>
  <c r="O34" i="9" s="1"/>
  <c r="M57" i="9"/>
  <c r="N57" i="9" s="1"/>
  <c r="O57" i="9" s="1"/>
  <c r="P57" i="9"/>
  <c r="M58" i="9"/>
  <c r="N58" i="9" s="1"/>
  <c r="O58" i="9" s="1"/>
  <c r="P58" i="9"/>
  <c r="M50" i="9"/>
  <c r="N50" i="9" s="1"/>
  <c r="M52" i="9"/>
  <c r="N52" i="9" s="1"/>
  <c r="M10" i="9"/>
  <c r="N10" i="9" s="1"/>
  <c r="O10" i="9" s="1"/>
  <c r="M18" i="9"/>
  <c r="N18" i="9" s="1"/>
  <c r="M13" i="9"/>
  <c r="N13" i="9" s="1"/>
  <c r="M33" i="9"/>
  <c r="N33" i="9" s="1"/>
  <c r="M22" i="9"/>
  <c r="N22" i="9" s="1"/>
  <c r="M49" i="9"/>
  <c r="N49" i="9" s="1"/>
  <c r="M11" i="9"/>
  <c r="N11" i="9" s="1"/>
  <c r="O11" i="9" s="1"/>
  <c r="M6" i="9"/>
  <c r="N6" i="9" s="1"/>
  <c r="M14" i="9"/>
  <c r="N14" i="9" s="1"/>
  <c r="M37" i="9"/>
  <c r="N37" i="9" s="1"/>
  <c r="M51" i="9"/>
  <c r="N51" i="9" s="1"/>
  <c r="M29" i="9"/>
  <c r="N29" i="9" s="1"/>
  <c r="M43" i="9"/>
  <c r="N43" i="9" s="1"/>
  <c r="M35" i="9"/>
  <c r="N35" i="9" s="1"/>
  <c r="M21" i="9"/>
  <c r="N21" i="9" s="1"/>
  <c r="M41" i="9"/>
  <c r="N41" i="9" s="1"/>
  <c r="O41" i="9" s="1"/>
  <c r="M4" i="9"/>
  <c r="N4" i="9" s="1"/>
  <c r="M12" i="9"/>
  <c r="N12" i="9" s="1"/>
  <c r="M20" i="9"/>
  <c r="N20" i="9" s="1"/>
  <c r="M28" i="9"/>
  <c r="N28" i="9" s="1"/>
  <c r="M36" i="9"/>
  <c r="N36" i="9" s="1"/>
  <c r="M38" i="9"/>
  <c r="N38" i="9" s="1"/>
  <c r="O38" i="9" s="1"/>
  <c r="M46" i="9"/>
  <c r="N46" i="9" s="1"/>
  <c r="M54" i="9"/>
  <c r="N54" i="9" s="1"/>
  <c r="M7" i="9"/>
  <c r="N7" i="9" s="1"/>
  <c r="M15" i="9"/>
  <c r="N15" i="9" s="1"/>
  <c r="M23" i="9"/>
  <c r="N23" i="9" s="1"/>
  <c r="M31" i="9"/>
  <c r="N31" i="9" s="1"/>
  <c r="M39" i="9"/>
  <c r="N39" i="9" s="1"/>
  <c r="O39" i="9" s="1"/>
  <c r="M47" i="9"/>
  <c r="N47" i="9" s="1"/>
  <c r="M55" i="9"/>
  <c r="N55" i="9" s="1"/>
  <c r="M8" i="9"/>
  <c r="N8" i="9" s="1"/>
  <c r="M16" i="9"/>
  <c r="N16" i="9" s="1"/>
  <c r="M24" i="9"/>
  <c r="N24" i="9" s="1"/>
  <c r="M32" i="9"/>
  <c r="N32" i="9" s="1"/>
  <c r="M40" i="9"/>
  <c r="N40" i="9" s="1"/>
  <c r="O40" i="9" s="1"/>
  <c r="M48" i="9"/>
  <c r="N48" i="9" s="1"/>
  <c r="M56" i="9"/>
  <c r="N56" i="9" s="1"/>
  <c r="M5" i="9"/>
  <c r="N5" i="9" s="1"/>
  <c r="M45" i="9"/>
  <c r="N45" i="9" s="1"/>
  <c r="I203" i="1"/>
  <c r="I179" i="1"/>
  <c r="I193" i="1"/>
  <c r="I195" i="1"/>
  <c r="I196" i="1"/>
  <c r="I159" i="1"/>
  <c r="I123" i="1"/>
  <c r="I90" i="1"/>
  <c r="I89" i="1"/>
  <c r="I107" i="1"/>
  <c r="D42" i="7"/>
  <c r="D41" i="7"/>
  <c r="D40" i="7"/>
  <c r="D39" i="7"/>
  <c r="D38" i="7"/>
  <c r="D37" i="7"/>
  <c r="D34" i="7"/>
  <c r="D33" i="7"/>
  <c r="D30" i="7"/>
  <c r="D29" i="7"/>
  <c r="D23" i="7"/>
  <c r="D22" i="7"/>
  <c r="D19" i="7"/>
  <c r="D15" i="7"/>
  <c r="D12" i="7"/>
  <c r="D11" i="7"/>
  <c r="R59" i="9" l="1"/>
  <c r="P59" i="9"/>
  <c r="P61" i="9" s="1"/>
  <c r="K228" i="1"/>
  <c r="L228" i="1" s="1"/>
  <c r="K227" i="1"/>
  <c r="L227" i="1" s="1"/>
  <c r="K226" i="1"/>
  <c r="L226" i="1" s="1"/>
  <c r="K225" i="1"/>
  <c r="L225" i="1" s="1"/>
  <c r="K224" i="1"/>
  <c r="L224" i="1" s="1"/>
  <c r="K223" i="1"/>
  <c r="L223" i="1" s="1"/>
  <c r="K222" i="1"/>
  <c r="L222" i="1" s="1"/>
  <c r="K221" i="1"/>
  <c r="L221" i="1" s="1"/>
  <c r="K220" i="1"/>
  <c r="L220" i="1" s="1"/>
  <c r="K219" i="1"/>
  <c r="K218" i="1"/>
  <c r="L218" i="1" s="1"/>
  <c r="K217" i="1"/>
  <c r="L217" i="1" s="1"/>
  <c r="K216" i="1"/>
  <c r="L216" i="1" s="1"/>
  <c r="K215" i="1"/>
  <c r="L215" i="1" s="1"/>
  <c r="K214" i="1"/>
  <c r="L214" i="1" s="1"/>
  <c r="K213" i="1"/>
  <c r="L213" i="1" s="1"/>
  <c r="K212" i="1"/>
  <c r="L212" i="1" s="1"/>
  <c r="K211" i="1"/>
  <c r="L211" i="1" s="1"/>
  <c r="K210" i="1"/>
  <c r="L210" i="1" s="1"/>
  <c r="K209" i="1"/>
  <c r="L209" i="1" s="1"/>
  <c r="K208" i="1"/>
  <c r="L208" i="1" s="1"/>
  <c r="K207" i="1"/>
  <c r="L207" i="1" s="1"/>
  <c r="K206" i="1"/>
  <c r="L206" i="1" s="1"/>
  <c r="K205" i="1"/>
  <c r="L205" i="1" s="1"/>
  <c r="K204" i="1"/>
  <c r="L204" i="1" s="1"/>
  <c r="K203" i="1"/>
  <c r="L203" i="1" s="1"/>
  <c r="K202" i="1"/>
  <c r="L202" i="1" s="1"/>
  <c r="K201" i="1"/>
  <c r="L201" i="1" s="1"/>
  <c r="K200" i="1"/>
  <c r="L200" i="1" s="1"/>
  <c r="K199" i="1"/>
  <c r="L199" i="1" s="1"/>
  <c r="K198" i="1"/>
  <c r="L198" i="1" s="1"/>
  <c r="K197" i="1"/>
  <c r="L197" i="1" s="1"/>
  <c r="K196" i="1"/>
  <c r="L196" i="1" s="1"/>
  <c r="K195" i="1"/>
  <c r="L195" i="1" s="1"/>
  <c r="K194" i="1"/>
  <c r="L194" i="1" s="1"/>
  <c r="K193" i="1"/>
  <c r="L193" i="1" s="1"/>
  <c r="K192" i="1"/>
  <c r="L192" i="1" s="1"/>
  <c r="K191" i="1"/>
  <c r="L191" i="1" s="1"/>
  <c r="K190" i="1"/>
  <c r="L190" i="1" s="1"/>
  <c r="K189" i="1"/>
  <c r="L189" i="1" s="1"/>
  <c r="K188" i="1"/>
  <c r="L188" i="1" s="1"/>
  <c r="K187" i="1"/>
  <c r="L187" i="1" s="1"/>
  <c r="K186" i="1"/>
  <c r="L186" i="1" s="1"/>
  <c r="K185" i="1"/>
  <c r="L185" i="1" s="1"/>
  <c r="K184" i="1"/>
  <c r="L184" i="1" s="1"/>
  <c r="K183" i="1"/>
  <c r="L183" i="1" s="1"/>
  <c r="K182" i="1"/>
  <c r="L182" i="1" s="1"/>
  <c r="K181" i="1"/>
  <c r="L181" i="1" s="1"/>
  <c r="K180" i="1"/>
  <c r="L180" i="1" s="1"/>
  <c r="K179" i="1"/>
  <c r="L179" i="1" s="1"/>
  <c r="K178" i="1"/>
  <c r="L178" i="1" s="1"/>
  <c r="K177" i="1"/>
  <c r="L177" i="1" s="1"/>
  <c r="K176" i="1"/>
  <c r="L176" i="1" s="1"/>
  <c r="K175" i="1"/>
  <c r="L175" i="1" s="1"/>
  <c r="K174" i="1"/>
  <c r="L174" i="1" s="1"/>
  <c r="K173" i="1"/>
  <c r="L173" i="1" s="1"/>
  <c r="K172" i="1"/>
  <c r="L172" i="1" s="1"/>
  <c r="K171" i="1"/>
  <c r="L171" i="1" s="1"/>
  <c r="K170" i="1"/>
  <c r="L170" i="1" s="1"/>
  <c r="K169" i="1"/>
  <c r="L169" i="1" s="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K157" i="1"/>
  <c r="L157" i="1" s="1"/>
  <c r="K156" i="1"/>
  <c r="L156" i="1" s="1"/>
  <c r="K155" i="1"/>
  <c r="L155" i="1" s="1"/>
  <c r="K154" i="1"/>
  <c r="L154" i="1" s="1"/>
  <c r="K153" i="1"/>
  <c r="L153" i="1" s="1"/>
  <c r="K152" i="1"/>
  <c r="L152" i="1" s="1"/>
  <c r="K151" i="1"/>
  <c r="L151" i="1" s="1"/>
  <c r="K150" i="1"/>
  <c r="L150" i="1" s="1"/>
  <c r="K148" i="1"/>
  <c r="L148" i="1" s="1"/>
  <c r="K147" i="1"/>
  <c r="L147" i="1" s="1"/>
  <c r="K146" i="1"/>
  <c r="L146" i="1" s="1"/>
  <c r="K145" i="1"/>
  <c r="L145" i="1" s="1"/>
  <c r="K144" i="1"/>
  <c r="L144" i="1" s="1"/>
  <c r="K143" i="1"/>
  <c r="L143" i="1" s="1"/>
  <c r="K142" i="1"/>
  <c r="L142" i="1" s="1"/>
  <c r="K141" i="1"/>
  <c r="L141" i="1" s="1"/>
  <c r="K140" i="1"/>
  <c r="L140" i="1" s="1"/>
  <c r="K139" i="1"/>
  <c r="L139" i="1" s="1"/>
  <c r="K138" i="1"/>
  <c r="L138" i="1" s="1"/>
  <c r="K137" i="1"/>
  <c r="L137" i="1" s="1"/>
  <c r="K136" i="1"/>
  <c r="L136" i="1" s="1"/>
  <c r="K135" i="1"/>
  <c r="L135" i="1" s="1"/>
  <c r="K134" i="1"/>
  <c r="L134" i="1" s="1"/>
  <c r="K133" i="1"/>
  <c r="L133" i="1" s="1"/>
  <c r="K132" i="1"/>
  <c r="L132" i="1" s="1"/>
  <c r="K131" i="1"/>
  <c r="L131" i="1" s="1"/>
  <c r="K130" i="1"/>
  <c r="L130" i="1" s="1"/>
  <c r="K129" i="1"/>
  <c r="L129" i="1" s="1"/>
  <c r="K128" i="1"/>
  <c r="L128" i="1" s="1"/>
  <c r="K127" i="1"/>
  <c r="L127" i="1" s="1"/>
  <c r="K126" i="1"/>
  <c r="L126" i="1" s="1"/>
  <c r="K125" i="1"/>
  <c r="L125" i="1" s="1"/>
  <c r="K124" i="1"/>
  <c r="L124" i="1" s="1"/>
  <c r="K123" i="1"/>
  <c r="L123" i="1" s="1"/>
  <c r="K122" i="1"/>
  <c r="L122" i="1" s="1"/>
  <c r="K121" i="1"/>
  <c r="L121" i="1" s="1"/>
  <c r="K120" i="1"/>
  <c r="L120" i="1" s="1"/>
  <c r="K119" i="1"/>
  <c r="L119" i="1" s="1"/>
  <c r="K118" i="1"/>
  <c r="L118" i="1" s="1"/>
  <c r="K117" i="1"/>
  <c r="L117" i="1" s="1"/>
  <c r="K116" i="1"/>
  <c r="L116" i="1" s="1"/>
  <c r="K115" i="1"/>
  <c r="L115" i="1" s="1"/>
  <c r="K114" i="1"/>
  <c r="L114" i="1" s="1"/>
  <c r="K113" i="1"/>
  <c r="L113" i="1" s="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K87" i="1"/>
  <c r="L87" i="1" s="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L46" i="1" s="1"/>
  <c r="K45" i="1"/>
  <c r="L45" i="1" s="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L31" i="1" s="1"/>
  <c r="K30" i="1"/>
  <c r="L30" i="1" s="1"/>
  <c r="K29" i="1"/>
  <c r="L29" i="1" s="1"/>
  <c r="K28" i="1"/>
  <c r="L28" i="1" s="1"/>
  <c r="K27" i="1"/>
  <c r="L27" i="1" s="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L14" i="1" s="1"/>
  <c r="K13" i="1"/>
  <c r="L13" i="1" s="1"/>
  <c r="K12" i="1"/>
  <c r="L12" i="1" s="1"/>
  <c r="K11" i="1"/>
  <c r="L11" i="1" s="1"/>
  <c r="K10" i="1"/>
  <c r="L10" i="1" s="1"/>
  <c r="K9" i="1"/>
  <c r="L9" i="1" s="1"/>
  <c r="K8" i="1"/>
  <c r="K7" i="1"/>
  <c r="L7" i="1" s="1"/>
  <c r="K6" i="1"/>
  <c r="L6" i="1" s="1"/>
  <c r="K5" i="1"/>
  <c r="L5" i="1" s="1"/>
  <c r="K4" i="1"/>
  <c r="L4" i="1" s="1"/>
  <c r="K3" i="1"/>
  <c r="M8" i="1" l="1"/>
  <c r="L8" i="1"/>
  <c r="M219" i="1"/>
  <c r="L219" i="1"/>
  <c r="K1" i="1"/>
  <c r="L3" i="1"/>
  <c r="L1" i="1" s="1"/>
  <c r="B18" i="8"/>
  <c r="C17" i="8"/>
  <c r="C16" i="8"/>
  <c r="C15" i="8"/>
  <c r="C18" i="8" l="1"/>
  <c r="D18" i="8" s="1"/>
  <c r="C14" i="8"/>
  <c r="C13" i="8"/>
  <c r="C12" i="8"/>
  <c r="C10" i="8"/>
  <c r="C9" i="8"/>
  <c r="C8" i="8"/>
  <c r="C7" i="8"/>
  <c r="C6" i="8"/>
  <c r="C5" i="8"/>
  <c r="C4" i="8"/>
  <c r="C3" i="8"/>
  <c r="C2" i="8"/>
  <c r="B3" i="7" l="1"/>
  <c r="E57" i="7"/>
  <c r="F57" i="7" s="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U222" i="1"/>
  <c r="W222" i="1" s="1"/>
  <c r="U221" i="1"/>
  <c r="V221" i="1" s="1"/>
  <c r="U219" i="1"/>
  <c r="W219" i="1" s="1"/>
  <c r="U228" i="1"/>
  <c r="H228" i="1"/>
  <c r="M228" i="1" s="1"/>
  <c r="G97" i="1"/>
  <c r="H97" i="1" s="1"/>
  <c r="M97" i="1" s="1"/>
  <c r="U97" i="1"/>
  <c r="U227" i="1"/>
  <c r="H227" i="1"/>
  <c r="M227" i="1" s="1"/>
  <c r="U226" i="1"/>
  <c r="H226" i="1"/>
  <c r="M226" i="1" s="1"/>
  <c r="U225" i="1"/>
  <c r="U224" i="1"/>
  <c r="U223" i="1"/>
  <c r="H225" i="1"/>
  <c r="M225" i="1" s="1"/>
  <c r="H224" i="1"/>
  <c r="M224" i="1" s="1"/>
  <c r="H223" i="1"/>
  <c r="M223" i="1" s="1"/>
  <c r="G167" i="1"/>
  <c r="H222" i="1"/>
  <c r="M222" i="1" s="1"/>
  <c r="H221" i="1"/>
  <c r="M221" i="1" s="1"/>
  <c r="U220" i="1"/>
  <c r="H220" i="1"/>
  <c r="M220" i="1" s="1"/>
  <c r="G115" i="1"/>
  <c r="U218" i="1"/>
  <c r="H218" i="1"/>
  <c r="M218" i="1" s="1"/>
  <c r="H49" i="1"/>
  <c r="M49" i="1" s="1"/>
  <c r="F28" i="2"/>
  <c r="U217" i="1"/>
  <c r="V217" i="1" s="1"/>
  <c r="H217" i="1"/>
  <c r="M217" i="1" s="1"/>
  <c r="U216" i="1"/>
  <c r="V216" i="1" s="1"/>
  <c r="H216" i="1"/>
  <c r="M216" i="1" s="1"/>
  <c r="G111" i="1"/>
  <c r="G96" i="1"/>
  <c r="G99" i="1"/>
  <c r="G214" i="1"/>
  <c r="G179" i="1"/>
  <c r="V219" i="1" l="1"/>
  <c r="W227" i="1"/>
  <c r="V227" i="1"/>
  <c r="V226" i="1"/>
  <c r="W226" i="1"/>
  <c r="W218" i="1"/>
  <c r="V218" i="1"/>
  <c r="V223" i="1"/>
  <c r="W223" i="1"/>
  <c r="W220" i="1"/>
  <c r="V220" i="1"/>
  <c r="W224" i="1"/>
  <c r="V224" i="1"/>
  <c r="W225" i="1"/>
  <c r="V225" i="1"/>
  <c r="W228" i="1"/>
  <c r="V228" i="1"/>
  <c r="W221" i="1"/>
  <c r="V222" i="1"/>
  <c r="V97" i="1"/>
  <c r="W97" i="1"/>
  <c r="W216" i="1"/>
  <c r="W217" i="1"/>
  <c r="H215" i="1"/>
  <c r="M215" i="1" s="1"/>
  <c r="U215" i="1"/>
  <c r="W215" i="1" s="1"/>
  <c r="G213" i="1"/>
  <c r="G212" i="1"/>
  <c r="U214" i="1"/>
  <c r="W214" i="1" s="1"/>
  <c r="U213" i="1"/>
  <c r="W213" i="1" s="1"/>
  <c r="U212" i="1"/>
  <c r="W212" i="1" s="1"/>
  <c r="U211" i="1"/>
  <c r="W211" i="1" s="1"/>
  <c r="V211" i="1" l="1"/>
  <c r="V212" i="1"/>
  <c r="V213" i="1"/>
  <c r="V214" i="1"/>
  <c r="V215" i="1"/>
  <c r="H214" i="1"/>
  <c r="M214" i="1" s="1"/>
  <c r="H213" i="1"/>
  <c r="M213" i="1" s="1"/>
  <c r="H212" i="1"/>
  <c r="M212" i="1" s="1"/>
  <c r="H211" i="1"/>
  <c r="M211" i="1" s="1"/>
  <c r="G205" i="1"/>
  <c r="G42" i="1"/>
  <c r="G41" i="1"/>
  <c r="G55" i="1"/>
  <c r="F14" i="2" l="1"/>
  <c r="U19" i="1"/>
  <c r="V19" i="1" s="1"/>
  <c r="U37" i="1"/>
  <c r="U177" i="1"/>
  <c r="U165" i="1"/>
  <c r="U174" i="1"/>
  <c r="U173" i="1"/>
  <c r="U176" i="1"/>
  <c r="U144" i="1"/>
  <c r="U158" i="1"/>
  <c r="U36" i="1"/>
  <c r="V36" i="1" s="1"/>
  <c r="U38" i="1"/>
  <c r="U78" i="1"/>
  <c r="U130" i="1"/>
  <c r="U25" i="1"/>
  <c r="V25" i="1" s="1"/>
  <c r="U50" i="1"/>
  <c r="U18" i="1"/>
  <c r="V18" i="1" s="1"/>
  <c r="U17" i="1"/>
  <c r="V17" i="1" s="1"/>
  <c r="U49" i="1"/>
  <c r="U84" i="1"/>
  <c r="U52" i="1"/>
  <c r="U86" i="1"/>
  <c r="U172" i="1"/>
  <c r="U151" i="1"/>
  <c r="U147" i="1"/>
  <c r="U46" i="1"/>
  <c r="U45" i="1"/>
  <c r="U27" i="1"/>
  <c r="V27" i="1" s="1"/>
  <c r="U62" i="1"/>
  <c r="U63" i="1"/>
  <c r="U162" i="1"/>
  <c r="U138" i="1"/>
  <c r="U146" i="1"/>
  <c r="U171" i="1"/>
  <c r="U44" i="1"/>
  <c r="U64" i="1"/>
  <c r="U106" i="1"/>
  <c r="U88" i="1"/>
  <c r="U157" i="1"/>
  <c r="U178" i="1"/>
  <c r="U61" i="1"/>
  <c r="U122" i="1"/>
  <c r="U155" i="1"/>
  <c r="U91" i="1"/>
  <c r="U40" i="1"/>
  <c r="U90" i="1"/>
  <c r="U35" i="1"/>
  <c r="V35" i="1" s="1"/>
  <c r="U34" i="1"/>
  <c r="V34" i="1" s="1"/>
  <c r="U89" i="1"/>
  <c r="U30" i="1"/>
  <c r="V30" i="1" s="1"/>
  <c r="U15" i="1"/>
  <c r="V15" i="1" s="1"/>
  <c r="U93" i="1"/>
  <c r="U129" i="1"/>
  <c r="U160" i="1"/>
  <c r="U21" i="1"/>
  <c r="V21" i="1" s="1"/>
  <c r="U12" i="1"/>
  <c r="V12" i="1" s="1"/>
  <c r="U9" i="1"/>
  <c r="V9" i="1" s="1"/>
  <c r="U48" i="1"/>
  <c r="U154" i="1"/>
  <c r="U163" i="1"/>
  <c r="U159" i="1"/>
  <c r="U156" i="1"/>
  <c r="U135" i="1"/>
  <c r="U131" i="1"/>
  <c r="U92" i="1"/>
  <c r="U123" i="1"/>
  <c r="U191" i="1"/>
  <c r="U181" i="1"/>
  <c r="U183" i="1"/>
  <c r="U189" i="1"/>
  <c r="U198" i="1"/>
  <c r="U200" i="1"/>
  <c r="U196" i="1"/>
  <c r="U94" i="1"/>
  <c r="U194" i="1"/>
  <c r="U119" i="1"/>
  <c r="U201" i="1"/>
  <c r="U107" i="1"/>
  <c r="U112" i="1"/>
  <c r="U100" i="1"/>
  <c r="U96" i="1"/>
  <c r="U99" i="1"/>
  <c r="U68" i="1"/>
  <c r="U85" i="1"/>
  <c r="U109" i="1"/>
  <c r="U69" i="1"/>
  <c r="U71" i="1"/>
  <c r="U209" i="1"/>
  <c r="U208" i="1"/>
  <c r="U187" i="1"/>
  <c r="U186" i="1"/>
  <c r="U185" i="1"/>
  <c r="U182" i="1"/>
  <c r="U111" i="1"/>
  <c r="U127" i="1"/>
  <c r="U110" i="1"/>
  <c r="U126" i="1"/>
  <c r="U103" i="1"/>
  <c r="U145" i="1"/>
  <c r="U105" i="1"/>
  <c r="U5" i="1"/>
  <c r="V5" i="1" s="1"/>
  <c r="U101" i="1"/>
  <c r="U10" i="1"/>
  <c r="V10" i="1" s="1"/>
  <c r="U102" i="1"/>
  <c r="U104" i="1"/>
  <c r="U87" i="1"/>
  <c r="U80" i="1"/>
  <c r="U83" i="1"/>
  <c r="U31" i="1"/>
  <c r="V31" i="1" s="1"/>
  <c r="U22" i="1"/>
  <c r="V22" i="1" s="1"/>
  <c r="U29" i="1"/>
  <c r="V29" i="1" s="1"/>
  <c r="U33" i="1"/>
  <c r="V33" i="1" s="1"/>
  <c r="U4" i="1"/>
  <c r="V4" i="1" s="1"/>
  <c r="U149" i="1"/>
  <c r="U180" i="1"/>
  <c r="U128" i="1"/>
  <c r="U164" i="1"/>
  <c r="U7" i="1"/>
  <c r="V7" i="1" s="1"/>
  <c r="U125" i="1"/>
  <c r="U121" i="1"/>
  <c r="U118" i="1"/>
  <c r="U124" i="1"/>
  <c r="U170" i="1"/>
  <c r="U59" i="1"/>
  <c r="U51" i="1"/>
  <c r="U72" i="1"/>
  <c r="U67" i="1"/>
  <c r="U74" i="1"/>
  <c r="U24" i="1"/>
  <c r="V24" i="1" s="1"/>
  <c r="U206" i="1"/>
  <c r="U73" i="1"/>
  <c r="U95" i="1"/>
  <c r="U82" i="1"/>
  <c r="U207" i="1"/>
  <c r="U57" i="1"/>
  <c r="U210" i="1"/>
  <c r="U204" i="1"/>
  <c r="U184" i="1"/>
  <c r="U203" i="1"/>
  <c r="U56" i="1"/>
  <c r="U202" i="1"/>
  <c r="U179" i="1"/>
  <c r="U108" i="1"/>
  <c r="U60" i="1"/>
  <c r="U58" i="1"/>
  <c r="U152" i="1"/>
  <c r="U140" i="1"/>
  <c r="U148" i="1"/>
  <c r="U79" i="1"/>
  <c r="U26" i="1"/>
  <c r="V26" i="1" s="1"/>
  <c r="U77" i="1"/>
  <c r="U70" i="1"/>
  <c r="U66" i="1"/>
  <c r="U81" i="1"/>
  <c r="U76" i="1"/>
  <c r="U32" i="1"/>
  <c r="V32" i="1" s="1"/>
  <c r="U28" i="1"/>
  <c r="V28" i="1" s="1"/>
  <c r="U8" i="1"/>
  <c r="V8" i="1" s="1"/>
  <c r="U3" i="1"/>
  <c r="V3" i="1" s="1"/>
  <c r="U14" i="1"/>
  <c r="V14" i="1" s="1"/>
  <c r="U6" i="1"/>
  <c r="V6" i="1" s="1"/>
  <c r="U16" i="1"/>
  <c r="V16" i="1" s="1"/>
  <c r="U23" i="1"/>
  <c r="V23" i="1" s="1"/>
  <c r="U13" i="1"/>
  <c r="V13" i="1" s="1"/>
  <c r="U11" i="1"/>
  <c r="V11" i="1" s="1"/>
  <c r="U20" i="1"/>
  <c r="V20" i="1" s="1"/>
  <c r="U205" i="1"/>
  <c r="U55" i="1"/>
  <c r="U120" i="1"/>
  <c r="U65" i="1"/>
  <c r="U54" i="1"/>
  <c r="U139" i="1"/>
  <c r="U134" i="1"/>
  <c r="U175" i="1"/>
  <c r="U117" i="1"/>
  <c r="U98" i="1"/>
  <c r="U143" i="1"/>
  <c r="U137" i="1"/>
  <c r="U132" i="1"/>
  <c r="U133" i="1"/>
  <c r="U75" i="1"/>
  <c r="U39" i="1"/>
  <c r="U53" i="1"/>
  <c r="U47" i="1"/>
  <c r="U136" i="1"/>
  <c r="U141" i="1"/>
  <c r="U142" i="1"/>
  <c r="U169" i="1"/>
  <c r="U168" i="1"/>
  <c r="U161" i="1"/>
  <c r="U197" i="1"/>
  <c r="U199" i="1"/>
  <c r="U116" i="1"/>
  <c r="U113" i="1"/>
  <c r="U195" i="1"/>
  <c r="U188" i="1"/>
  <c r="U190" i="1"/>
  <c r="U192" i="1"/>
  <c r="U41" i="1"/>
  <c r="U115" i="1"/>
  <c r="U114" i="1"/>
  <c r="U193" i="1"/>
  <c r="U167" i="1"/>
  <c r="U153" i="1"/>
  <c r="U150" i="1"/>
  <c r="U166" i="1"/>
  <c r="U43" i="1"/>
  <c r="U42" i="1"/>
  <c r="H19" i="1"/>
  <c r="M19" i="1" s="1"/>
  <c r="H37" i="1"/>
  <c r="M37" i="1" s="1"/>
  <c r="H177" i="1"/>
  <c r="M177" i="1" s="1"/>
  <c r="H165" i="1"/>
  <c r="M165" i="1" s="1"/>
  <c r="H174" i="1"/>
  <c r="M174" i="1" s="1"/>
  <c r="H173" i="1"/>
  <c r="M173" i="1" s="1"/>
  <c r="H176" i="1"/>
  <c r="M176" i="1" s="1"/>
  <c r="H144" i="1"/>
  <c r="M144" i="1" s="1"/>
  <c r="H158" i="1"/>
  <c r="M158" i="1" s="1"/>
  <c r="H36" i="1"/>
  <c r="M36" i="1" s="1"/>
  <c r="H38" i="1"/>
  <c r="M38" i="1" s="1"/>
  <c r="H78" i="1"/>
  <c r="M78" i="1" s="1"/>
  <c r="H130" i="1"/>
  <c r="M130" i="1" s="1"/>
  <c r="H50" i="1"/>
  <c r="M50" i="1" s="1"/>
  <c r="H18" i="1"/>
  <c r="M18" i="1" s="1"/>
  <c r="H17" i="1"/>
  <c r="M17" i="1" s="1"/>
  <c r="H25" i="1"/>
  <c r="M25" i="1" s="1"/>
  <c r="H84" i="1"/>
  <c r="M84" i="1" s="1"/>
  <c r="H52" i="1"/>
  <c r="M52" i="1" s="1"/>
  <c r="H86" i="1"/>
  <c r="M86" i="1" s="1"/>
  <c r="H172" i="1"/>
  <c r="M172" i="1" s="1"/>
  <c r="H151" i="1"/>
  <c r="M151" i="1" s="1"/>
  <c r="H147" i="1"/>
  <c r="M147" i="1" s="1"/>
  <c r="H46" i="1"/>
  <c r="M46" i="1" s="1"/>
  <c r="H45" i="1"/>
  <c r="M45" i="1" s="1"/>
  <c r="H27" i="1"/>
  <c r="M27" i="1" s="1"/>
  <c r="H62" i="1"/>
  <c r="M62" i="1" s="1"/>
  <c r="H63" i="1"/>
  <c r="M63" i="1" s="1"/>
  <c r="H162" i="1"/>
  <c r="M162" i="1" s="1"/>
  <c r="H138" i="1"/>
  <c r="M138" i="1" s="1"/>
  <c r="H146" i="1"/>
  <c r="M146" i="1" s="1"/>
  <c r="H171" i="1"/>
  <c r="M171" i="1" s="1"/>
  <c r="H44" i="1"/>
  <c r="M44" i="1" s="1"/>
  <c r="H64" i="1"/>
  <c r="M64" i="1" s="1"/>
  <c r="H106" i="1"/>
  <c r="M106" i="1" s="1"/>
  <c r="H88" i="1"/>
  <c r="M88" i="1" s="1"/>
  <c r="W41" i="1" l="1"/>
  <c r="V41" i="1"/>
  <c r="W120" i="1"/>
  <c r="V120" i="1"/>
  <c r="W184" i="1"/>
  <c r="V184" i="1"/>
  <c r="W209" i="1"/>
  <c r="V209" i="1"/>
  <c r="W169" i="1"/>
  <c r="V169" i="1"/>
  <c r="W133" i="1"/>
  <c r="V133" i="1"/>
  <c r="W79" i="1"/>
  <c r="V79" i="1"/>
  <c r="W82" i="1"/>
  <c r="V82" i="1"/>
  <c r="W51" i="1"/>
  <c r="V51" i="1"/>
  <c r="W186" i="1"/>
  <c r="V186" i="1"/>
  <c r="W166" i="1"/>
  <c r="V166" i="1"/>
  <c r="W114" i="1"/>
  <c r="V114" i="1"/>
  <c r="W142" i="1"/>
  <c r="V142" i="1"/>
  <c r="W132" i="1"/>
  <c r="V132" i="1"/>
  <c r="W54" i="1"/>
  <c r="V54" i="1"/>
  <c r="W148" i="1"/>
  <c r="V148" i="1"/>
  <c r="W56" i="1"/>
  <c r="V56" i="1"/>
  <c r="W95" i="1"/>
  <c r="V95" i="1"/>
  <c r="W59" i="1"/>
  <c r="V59" i="1"/>
  <c r="W164" i="1"/>
  <c r="V164" i="1"/>
  <c r="W187" i="1"/>
  <c r="V187" i="1"/>
  <c r="W99" i="1"/>
  <c r="V99" i="1"/>
  <c r="W94" i="1"/>
  <c r="V94" i="1"/>
  <c r="W181" i="1"/>
  <c r="V181" i="1"/>
  <c r="W163" i="1"/>
  <c r="V163" i="1"/>
  <c r="W129" i="1"/>
  <c r="V129" i="1"/>
  <c r="W88" i="1"/>
  <c r="V88" i="1"/>
  <c r="W63" i="1"/>
  <c r="V63" i="1"/>
  <c r="W151" i="1"/>
  <c r="V151" i="1"/>
  <c r="W50" i="1"/>
  <c r="V50" i="1"/>
  <c r="W144" i="1"/>
  <c r="V144" i="1"/>
  <c r="W150" i="1"/>
  <c r="V150" i="1"/>
  <c r="W115" i="1"/>
  <c r="V115" i="1"/>
  <c r="W113" i="1"/>
  <c r="V113" i="1"/>
  <c r="W141" i="1"/>
  <c r="V141" i="1"/>
  <c r="W137" i="1"/>
  <c r="V137" i="1"/>
  <c r="W65" i="1"/>
  <c r="V65" i="1"/>
  <c r="W76" i="1"/>
  <c r="V76" i="1"/>
  <c r="W140" i="1"/>
  <c r="V140" i="1"/>
  <c r="W203" i="1"/>
  <c r="V203" i="1"/>
  <c r="W73" i="1"/>
  <c r="V73" i="1"/>
  <c r="W170" i="1"/>
  <c r="V170" i="1"/>
  <c r="W128" i="1"/>
  <c r="V128" i="1"/>
  <c r="W101" i="1"/>
  <c r="V101" i="1"/>
  <c r="W208" i="1"/>
  <c r="V208" i="1"/>
  <c r="W96" i="1"/>
  <c r="V96" i="1"/>
  <c r="W196" i="1"/>
  <c r="V196" i="1"/>
  <c r="W191" i="1"/>
  <c r="V191" i="1"/>
  <c r="W154" i="1"/>
  <c r="V154" i="1"/>
  <c r="W93" i="1"/>
  <c r="V93" i="1"/>
  <c r="W40" i="1"/>
  <c r="V40" i="1"/>
  <c r="W106" i="1"/>
  <c r="V106" i="1"/>
  <c r="W62" i="1"/>
  <c r="V62" i="1"/>
  <c r="W172" i="1"/>
  <c r="V172" i="1"/>
  <c r="W176" i="1"/>
  <c r="V176" i="1"/>
  <c r="W153" i="1"/>
  <c r="V153" i="1"/>
  <c r="W143" i="1"/>
  <c r="V143" i="1"/>
  <c r="W152" i="1"/>
  <c r="V152" i="1"/>
  <c r="W200" i="1"/>
  <c r="V200" i="1"/>
  <c r="W48" i="1"/>
  <c r="V48" i="1"/>
  <c r="W91" i="1"/>
  <c r="V91" i="1"/>
  <c r="W173" i="1"/>
  <c r="V173" i="1"/>
  <c r="W199" i="1"/>
  <c r="V199" i="1"/>
  <c r="W55" i="1"/>
  <c r="V55" i="1"/>
  <c r="W58" i="1"/>
  <c r="V58" i="1"/>
  <c r="W204" i="1"/>
  <c r="V204" i="1"/>
  <c r="W118" i="1"/>
  <c r="V118" i="1"/>
  <c r="W105" i="1"/>
  <c r="V105" i="1"/>
  <c r="W71" i="1"/>
  <c r="V71" i="1"/>
  <c r="W112" i="1"/>
  <c r="V112" i="1"/>
  <c r="W198" i="1"/>
  <c r="V198" i="1"/>
  <c r="W92" i="1"/>
  <c r="V92" i="1"/>
  <c r="W155" i="1"/>
  <c r="V155" i="1"/>
  <c r="W44" i="1"/>
  <c r="V44" i="1"/>
  <c r="W45" i="1"/>
  <c r="V45" i="1"/>
  <c r="W52" i="1"/>
  <c r="V52" i="1"/>
  <c r="W174" i="1"/>
  <c r="V174" i="1"/>
  <c r="W190" i="1"/>
  <c r="V190" i="1"/>
  <c r="W197" i="1"/>
  <c r="V197" i="1"/>
  <c r="W53" i="1"/>
  <c r="V53" i="1"/>
  <c r="W117" i="1"/>
  <c r="V117" i="1"/>
  <c r="W205" i="1"/>
  <c r="V205" i="1"/>
  <c r="W70" i="1"/>
  <c r="V70" i="1"/>
  <c r="W60" i="1"/>
  <c r="V60" i="1"/>
  <c r="W210" i="1"/>
  <c r="V210" i="1"/>
  <c r="W74" i="1"/>
  <c r="V74" i="1"/>
  <c r="W149" i="1"/>
  <c r="V149" i="1"/>
  <c r="W87" i="1"/>
  <c r="V87" i="1"/>
  <c r="W145" i="1"/>
  <c r="V145" i="1"/>
  <c r="W69" i="1"/>
  <c r="V69" i="1"/>
  <c r="W107" i="1"/>
  <c r="V107" i="1"/>
  <c r="W131" i="1"/>
  <c r="V131" i="1"/>
  <c r="W89" i="1"/>
  <c r="V89" i="1"/>
  <c r="W122" i="1"/>
  <c r="V122" i="1"/>
  <c r="W171" i="1"/>
  <c r="V171" i="1"/>
  <c r="W46" i="1"/>
  <c r="V46" i="1"/>
  <c r="W84" i="1"/>
  <c r="V84" i="1"/>
  <c r="W78" i="1"/>
  <c r="V78" i="1"/>
  <c r="W165" i="1"/>
  <c r="V165" i="1"/>
  <c r="W206" i="1"/>
  <c r="V206" i="1"/>
  <c r="W127" i="1"/>
  <c r="V127" i="1"/>
  <c r="W123" i="1"/>
  <c r="V123" i="1"/>
  <c r="W130" i="1"/>
  <c r="V130" i="1"/>
  <c r="W192" i="1"/>
  <c r="V192" i="1"/>
  <c r="W98" i="1"/>
  <c r="V98" i="1"/>
  <c r="W66" i="1"/>
  <c r="V66" i="1"/>
  <c r="W180" i="1"/>
  <c r="V180" i="1"/>
  <c r="W193" i="1"/>
  <c r="V193" i="1"/>
  <c r="W77" i="1"/>
  <c r="V77" i="1"/>
  <c r="W67" i="1"/>
  <c r="V67" i="1"/>
  <c r="W103" i="1"/>
  <c r="V103" i="1"/>
  <c r="W49" i="1"/>
  <c r="V49" i="1"/>
  <c r="W116" i="1"/>
  <c r="V116" i="1"/>
  <c r="W81" i="1"/>
  <c r="V81" i="1"/>
  <c r="W124" i="1"/>
  <c r="V124" i="1"/>
  <c r="W83" i="1"/>
  <c r="V83" i="1"/>
  <c r="W100" i="1"/>
  <c r="V100" i="1"/>
  <c r="W64" i="1"/>
  <c r="V64" i="1"/>
  <c r="W86" i="1"/>
  <c r="V86" i="1"/>
  <c r="W167" i="1"/>
  <c r="V167" i="1"/>
  <c r="W47" i="1"/>
  <c r="V47" i="1"/>
  <c r="W80" i="1"/>
  <c r="V80" i="1"/>
  <c r="W111" i="1"/>
  <c r="V111" i="1"/>
  <c r="W188" i="1"/>
  <c r="V188" i="1"/>
  <c r="W161" i="1"/>
  <c r="V161" i="1"/>
  <c r="W39" i="1"/>
  <c r="V39" i="1"/>
  <c r="W175" i="1"/>
  <c r="V175" i="1"/>
  <c r="W108" i="1"/>
  <c r="V108" i="1"/>
  <c r="W57" i="1"/>
  <c r="V57" i="1"/>
  <c r="W121" i="1"/>
  <c r="V121" i="1"/>
  <c r="W104" i="1"/>
  <c r="V104" i="1"/>
  <c r="W182" i="1"/>
  <c r="V182" i="1"/>
  <c r="W109" i="1"/>
  <c r="V109" i="1"/>
  <c r="W201" i="1"/>
  <c r="V201" i="1"/>
  <c r="W135" i="1"/>
  <c r="V135" i="1"/>
  <c r="W61" i="1"/>
  <c r="V61" i="1"/>
  <c r="W146" i="1"/>
  <c r="V146" i="1"/>
  <c r="W38" i="1"/>
  <c r="V38" i="1"/>
  <c r="W177" i="1"/>
  <c r="V177" i="1"/>
  <c r="W42" i="1"/>
  <c r="V42" i="1"/>
  <c r="W195" i="1"/>
  <c r="V195" i="1"/>
  <c r="W168" i="1"/>
  <c r="V168" i="1"/>
  <c r="W75" i="1"/>
  <c r="V75" i="1"/>
  <c r="W134" i="1"/>
  <c r="V134" i="1"/>
  <c r="W179" i="1"/>
  <c r="V179" i="1"/>
  <c r="W207" i="1"/>
  <c r="V207" i="1"/>
  <c r="W72" i="1"/>
  <c r="V72" i="1"/>
  <c r="W125" i="1"/>
  <c r="V125" i="1"/>
  <c r="W102" i="1"/>
  <c r="V102" i="1"/>
  <c r="W126" i="1"/>
  <c r="V126" i="1"/>
  <c r="W185" i="1"/>
  <c r="V185" i="1"/>
  <c r="W85" i="1"/>
  <c r="V85" i="1"/>
  <c r="W119" i="1"/>
  <c r="V119" i="1"/>
  <c r="W189" i="1"/>
  <c r="V189" i="1"/>
  <c r="W156" i="1"/>
  <c r="V156" i="1"/>
  <c r="W178" i="1"/>
  <c r="V178" i="1"/>
  <c r="W138" i="1"/>
  <c r="V138" i="1"/>
  <c r="W147" i="1"/>
  <c r="V147" i="1"/>
  <c r="W37" i="1"/>
  <c r="V37" i="1"/>
  <c r="W136" i="1"/>
  <c r="V136" i="1"/>
  <c r="W43" i="1"/>
  <c r="V43" i="1"/>
  <c r="W139" i="1"/>
  <c r="V139" i="1"/>
  <c r="W202" i="1"/>
  <c r="V202" i="1"/>
  <c r="W110" i="1"/>
  <c r="V110" i="1"/>
  <c r="W68" i="1"/>
  <c r="V68" i="1"/>
  <c r="W194" i="1"/>
  <c r="V194" i="1"/>
  <c r="W183" i="1"/>
  <c r="V183" i="1"/>
  <c r="W159" i="1"/>
  <c r="V159" i="1"/>
  <c r="W160" i="1"/>
  <c r="V160" i="1"/>
  <c r="W90" i="1"/>
  <c r="V90" i="1"/>
  <c r="W157" i="1"/>
  <c r="V157" i="1"/>
  <c r="W162" i="1"/>
  <c r="V162" i="1"/>
  <c r="W158" i="1"/>
  <c r="V158" i="1"/>
  <c r="W16" i="1"/>
  <c r="W31" i="1"/>
  <c r="W25" i="1"/>
  <c r="W10" i="1"/>
  <c r="W6" i="1"/>
  <c r="W5" i="1"/>
  <c r="W15" i="1"/>
  <c r="W27" i="1"/>
  <c r="W14" i="1"/>
  <c r="W24" i="1"/>
  <c r="W9" i="1"/>
  <c r="W30" i="1"/>
  <c r="W12" i="1"/>
  <c r="W22" i="1"/>
  <c r="W20" i="1"/>
  <c r="W8" i="1"/>
  <c r="W4" i="1"/>
  <c r="W34" i="1"/>
  <c r="W32" i="1"/>
  <c r="W11" i="1"/>
  <c r="W26" i="1"/>
  <c r="W33" i="1"/>
  <c r="W21" i="1"/>
  <c r="W35" i="1"/>
  <c r="W17" i="1"/>
  <c r="W36" i="1"/>
  <c r="W23" i="1"/>
  <c r="W13" i="1"/>
  <c r="W28" i="1"/>
  <c r="W7" i="1"/>
  <c r="W29" i="1"/>
  <c r="W18" i="1"/>
  <c r="W19" i="1"/>
  <c r="W3" i="1"/>
  <c r="H155" i="1"/>
  <c r="M155" i="1" s="1"/>
  <c r="H91" i="1"/>
  <c r="M91" i="1" s="1"/>
  <c r="H40" i="1"/>
  <c r="M40" i="1" s="1"/>
  <c r="H90" i="1"/>
  <c r="M90" i="1" s="1"/>
  <c r="H35" i="1"/>
  <c r="M35" i="1" s="1"/>
  <c r="H34" i="1"/>
  <c r="M34" i="1" s="1"/>
  <c r="H89" i="1"/>
  <c r="M89" i="1" s="1"/>
  <c r="H30" i="1"/>
  <c r="M30" i="1" s="1"/>
  <c r="H15" i="1"/>
  <c r="M15" i="1" s="1"/>
  <c r="H93" i="1"/>
  <c r="M93" i="1" s="1"/>
  <c r="H129" i="1"/>
  <c r="M129" i="1" s="1"/>
  <c r="H61" i="1"/>
  <c r="M61" i="1" s="1"/>
  <c r="H122" i="1"/>
  <c r="M122" i="1" s="1"/>
  <c r="H157" i="1"/>
  <c r="M157" i="1" s="1"/>
  <c r="H178" i="1"/>
  <c r="M178" i="1" s="1"/>
  <c r="H160" i="1"/>
  <c r="M160" i="1" s="1"/>
  <c r="H21" i="1"/>
  <c r="M21" i="1" s="1"/>
  <c r="H12" i="1"/>
  <c r="M12" i="1" s="1"/>
  <c r="H9" i="1"/>
  <c r="M9" i="1" s="1"/>
  <c r="H48" i="1"/>
  <c r="M48" i="1" s="1"/>
  <c r="H154" i="1"/>
  <c r="M154" i="1" s="1"/>
  <c r="H163" i="1"/>
  <c r="M163" i="1" s="1"/>
  <c r="H159" i="1"/>
  <c r="M159" i="1" s="1"/>
  <c r="H156" i="1"/>
  <c r="M156" i="1" s="1"/>
  <c r="H135" i="1"/>
  <c r="M135" i="1" s="1"/>
  <c r="H131" i="1"/>
  <c r="M131" i="1" s="1"/>
  <c r="H92" i="1"/>
  <c r="M92" i="1" s="1"/>
  <c r="H123" i="1"/>
  <c r="M123" i="1" s="1"/>
  <c r="H191" i="1"/>
  <c r="M191" i="1" s="1"/>
  <c r="H181" i="1"/>
  <c r="M181" i="1" s="1"/>
  <c r="H183" i="1"/>
  <c r="M183" i="1" s="1"/>
  <c r="H189" i="1"/>
  <c r="M189" i="1" s="1"/>
  <c r="H107" i="1"/>
  <c r="M107" i="1" s="1"/>
  <c r="H198" i="1"/>
  <c r="M198" i="1" s="1"/>
  <c r="H200" i="1"/>
  <c r="M200" i="1" s="1"/>
  <c r="H196" i="1"/>
  <c r="M196" i="1" s="1"/>
  <c r="H94" i="1"/>
  <c r="M94" i="1" s="1"/>
  <c r="H194" i="1"/>
  <c r="M194" i="1" s="1"/>
  <c r="H119" i="1"/>
  <c r="M119" i="1" s="1"/>
  <c r="H201" i="1"/>
  <c r="M201" i="1" s="1"/>
  <c r="H112" i="1"/>
  <c r="M112" i="1" s="1"/>
  <c r="H100" i="1"/>
  <c r="M100" i="1" s="1"/>
  <c r="H96" i="1"/>
  <c r="M96" i="1" s="1"/>
  <c r="H99" i="1"/>
  <c r="M99" i="1" s="1"/>
  <c r="H68" i="1"/>
  <c r="M68" i="1" s="1"/>
  <c r="H85" i="1"/>
  <c r="M85" i="1" s="1"/>
  <c r="H109" i="1"/>
  <c r="M109" i="1" s="1"/>
  <c r="H69" i="1"/>
  <c r="M69" i="1" s="1"/>
  <c r="H71" i="1"/>
  <c r="M71" i="1" s="1"/>
  <c r="H209" i="1"/>
  <c r="M209" i="1" s="1"/>
  <c r="H208" i="1"/>
  <c r="M208" i="1" s="1"/>
  <c r="H187" i="1"/>
  <c r="M187" i="1" s="1"/>
  <c r="H186" i="1"/>
  <c r="M186" i="1" s="1"/>
  <c r="H185" i="1"/>
  <c r="M185" i="1" s="1"/>
  <c r="H182" i="1"/>
  <c r="M182" i="1" s="1"/>
  <c r="H110" i="1"/>
  <c r="M110" i="1" s="1"/>
  <c r="G127" i="1"/>
  <c r="H127" i="1" s="1"/>
  <c r="M127" i="1" s="1"/>
  <c r="H111" i="1"/>
  <c r="M111" i="1" s="1"/>
  <c r="H126" i="1"/>
  <c r="M126" i="1" s="1"/>
  <c r="H103" i="1"/>
  <c r="M103" i="1" s="1"/>
  <c r="H145" i="1"/>
  <c r="M145" i="1" s="1"/>
  <c r="H105" i="1"/>
  <c r="M105" i="1" s="1"/>
  <c r="H5" i="1"/>
  <c r="M5" i="1" s="1"/>
  <c r="H101" i="1"/>
  <c r="M101" i="1" s="1"/>
  <c r="H10" i="1"/>
  <c r="M10" i="1" s="1"/>
  <c r="H102" i="1"/>
  <c r="M102" i="1" s="1"/>
  <c r="H104" i="1"/>
  <c r="M104" i="1" s="1"/>
  <c r="H87" i="1"/>
  <c r="M87" i="1" s="1"/>
  <c r="H80" i="1"/>
  <c r="M80" i="1" s="1"/>
  <c r="H149" i="1"/>
  <c r="M149" i="1" s="1"/>
  <c r="H180" i="1"/>
  <c r="M180" i="1" s="1"/>
  <c r="H83" i="1"/>
  <c r="M83" i="1" s="1"/>
  <c r="H31" i="1"/>
  <c r="M31" i="1" s="1"/>
  <c r="H22" i="1"/>
  <c r="M22" i="1" s="1"/>
  <c r="H29" i="1"/>
  <c r="M29" i="1" s="1"/>
  <c r="H4" i="1"/>
  <c r="M4" i="1" s="1"/>
  <c r="H128" i="1"/>
  <c r="M128" i="1" s="1"/>
  <c r="G125" i="1"/>
  <c r="H125" i="1" s="1"/>
  <c r="M125" i="1" s="1"/>
  <c r="H7" i="1"/>
  <c r="M7" i="1" s="1"/>
  <c r="H118" i="1"/>
  <c r="M118" i="1" s="1"/>
  <c r="H33" i="1"/>
  <c r="M33" i="1" s="1"/>
  <c r="H164" i="1"/>
  <c r="M164" i="1" s="1"/>
  <c r="H121" i="1"/>
  <c r="M121" i="1" s="1"/>
  <c r="H124" i="1"/>
  <c r="M124" i="1" s="1"/>
  <c r="G170" i="1"/>
  <c r="H170" i="1" s="1"/>
  <c r="M170" i="1" s="1"/>
  <c r="H59" i="1"/>
  <c r="M59" i="1" s="1"/>
  <c r="H51" i="1"/>
  <c r="M51" i="1" s="1"/>
  <c r="H72" i="1"/>
  <c r="M72" i="1" s="1"/>
  <c r="H67" i="1"/>
  <c r="M67" i="1" s="1"/>
  <c r="H74" i="1"/>
  <c r="M74" i="1" s="1"/>
  <c r="H24" i="1"/>
  <c r="M24" i="1" s="1"/>
  <c r="H206" i="1"/>
  <c r="M206" i="1" s="1"/>
  <c r="H73" i="1"/>
  <c r="M73" i="1" s="1"/>
  <c r="H95" i="1"/>
  <c r="M95" i="1" s="1"/>
  <c r="H82" i="1"/>
  <c r="M82" i="1" s="1"/>
  <c r="H207" i="1"/>
  <c r="M207" i="1" s="1"/>
  <c r="H57" i="1"/>
  <c r="M57" i="1" s="1"/>
  <c r="H210" i="1"/>
  <c r="M210" i="1" s="1"/>
  <c r="H204" i="1"/>
  <c r="M204" i="1" s="1"/>
  <c r="H184" i="1"/>
  <c r="M184" i="1" s="1"/>
  <c r="H203" i="1"/>
  <c r="M203" i="1" s="1"/>
  <c r="H56" i="1"/>
  <c r="M56" i="1" s="1"/>
  <c r="H202" i="1"/>
  <c r="M202" i="1" s="1"/>
  <c r="H179" i="1"/>
  <c r="M179" i="1" s="1"/>
  <c r="H108" i="1"/>
  <c r="M108" i="1" s="1"/>
  <c r="H60" i="1"/>
  <c r="M60" i="1" s="1"/>
  <c r="H58" i="1"/>
  <c r="M58" i="1" s="1"/>
  <c r="H148" i="1"/>
  <c r="M148" i="1" s="1"/>
  <c r="H152" i="1"/>
  <c r="M152" i="1" s="1"/>
  <c r="H140" i="1"/>
  <c r="M140" i="1" s="1"/>
  <c r="H79" i="1"/>
  <c r="M79" i="1" s="1"/>
  <c r="H26" i="1"/>
  <c r="M26" i="1" s="1"/>
  <c r="H77" i="1"/>
  <c r="M77" i="1" s="1"/>
  <c r="H70" i="1"/>
  <c r="M70" i="1" s="1"/>
  <c r="H66" i="1"/>
  <c r="M66" i="1" s="1"/>
  <c r="H81" i="1"/>
  <c r="M81" i="1" s="1"/>
  <c r="H76" i="1"/>
  <c r="M76" i="1" s="1"/>
  <c r="H32" i="1"/>
  <c r="M32" i="1" s="1"/>
  <c r="H28" i="1"/>
  <c r="M28" i="1" s="1"/>
  <c r="H3" i="1"/>
  <c r="M3" i="1" s="1"/>
  <c r="H14" i="1"/>
  <c r="M14" i="1" s="1"/>
  <c r="H6" i="1"/>
  <c r="M6" i="1" s="1"/>
  <c r="H16" i="1"/>
  <c r="M16" i="1" s="1"/>
  <c r="H23" i="1"/>
  <c r="M23" i="1" s="1"/>
  <c r="H13" i="1"/>
  <c r="M13" i="1" s="1"/>
  <c r="H11" i="1"/>
  <c r="M11" i="1" s="1"/>
  <c r="H20" i="1"/>
  <c r="M20" i="1" s="1"/>
  <c r="H205" i="1"/>
  <c r="M205" i="1" s="1"/>
  <c r="H55" i="1"/>
  <c r="M55" i="1" s="1"/>
  <c r="H120" i="1"/>
  <c r="M120" i="1" s="1"/>
  <c r="H65" i="1"/>
  <c r="M65" i="1" s="1"/>
  <c r="H54" i="1"/>
  <c r="M54" i="1" s="1"/>
  <c r="H167" i="1"/>
  <c r="M167" i="1" s="1"/>
  <c r="H139" i="1"/>
  <c r="M139" i="1" s="1"/>
  <c r="H134" i="1"/>
  <c r="M134" i="1" s="1"/>
  <c r="H175" i="1"/>
  <c r="M175" i="1" s="1"/>
  <c r="H117" i="1"/>
  <c r="M117" i="1" s="1"/>
  <c r="H98" i="1"/>
  <c r="M98" i="1" s="1"/>
  <c r="H143" i="1"/>
  <c r="M143" i="1" s="1"/>
  <c r="H137" i="1"/>
  <c r="M137" i="1" s="1"/>
  <c r="H132" i="1"/>
  <c r="M132" i="1" s="1"/>
  <c r="H133" i="1"/>
  <c r="M133" i="1" s="1"/>
  <c r="H75" i="1"/>
  <c r="M75" i="1" s="1"/>
  <c r="H39" i="1"/>
  <c r="M39" i="1" s="1"/>
  <c r="H53" i="1"/>
  <c r="M53" i="1" s="1"/>
  <c r="H47" i="1"/>
  <c r="M47" i="1" s="1"/>
  <c r="H136" i="1"/>
  <c r="M136" i="1" s="1"/>
  <c r="H141" i="1"/>
  <c r="M141" i="1" s="1"/>
  <c r="H142" i="1"/>
  <c r="M142" i="1" s="1"/>
  <c r="H169" i="1"/>
  <c r="M169" i="1" s="1"/>
  <c r="H168" i="1"/>
  <c r="M168" i="1" s="1"/>
  <c r="H161" i="1"/>
  <c r="M161" i="1" s="1"/>
  <c r="H197" i="1"/>
  <c r="M197" i="1" s="1"/>
  <c r="H199" i="1"/>
  <c r="M199" i="1" s="1"/>
  <c r="H116" i="1"/>
  <c r="M116" i="1" s="1"/>
  <c r="H113" i="1"/>
  <c r="M113" i="1" s="1"/>
  <c r="H195" i="1"/>
  <c r="M195" i="1" s="1"/>
  <c r="H188" i="1"/>
  <c r="M188" i="1" s="1"/>
  <c r="H190" i="1"/>
  <c r="M190" i="1" s="1"/>
  <c r="H192" i="1"/>
  <c r="M192" i="1" s="1"/>
  <c r="H41" i="1"/>
  <c r="M41" i="1" s="1"/>
  <c r="H115" i="1"/>
  <c r="M115" i="1" s="1"/>
  <c r="H114" i="1"/>
  <c r="M114" i="1" s="1"/>
  <c r="H193" i="1"/>
  <c r="M193" i="1" s="1"/>
  <c r="H153" i="1"/>
  <c r="M153" i="1" s="1"/>
  <c r="H150" i="1"/>
  <c r="M150" i="1" s="1"/>
  <c r="H166" i="1"/>
  <c r="M166" i="1" s="1"/>
  <c r="H43" i="1"/>
  <c r="M43" i="1" s="1"/>
  <c r="H42" i="1"/>
  <c r="M42" i="1" s="1"/>
  <c r="M1" i="1" l="1"/>
  <c r="H1" i="1"/>
  <c r="E6" i="7" l="1"/>
  <c r="F6" i="7" s="1"/>
  <c r="E53" i="7"/>
  <c r="F53" i="7" s="1"/>
  <c r="E7" i="7"/>
  <c r="F7" i="7" s="1"/>
  <c r="E55" i="7"/>
  <c r="F55" i="7" s="1"/>
  <c r="E8" i="7"/>
  <c r="F8" i="7" s="1"/>
  <c r="E9" i="7"/>
  <c r="F9" i="7" s="1"/>
  <c r="E10" i="7"/>
  <c r="F10" i="7" s="1"/>
  <c r="E54" i="7"/>
  <c r="F54" i="7" s="1"/>
  <c r="E11" i="7"/>
  <c r="F11" i="7" s="1"/>
  <c r="E12" i="7"/>
  <c r="F12" i="7" s="1"/>
  <c r="E13" i="7"/>
  <c r="F13" i="7" s="1"/>
  <c r="E14" i="7"/>
  <c r="F14" i="7" s="1"/>
  <c r="E15" i="7"/>
  <c r="F15" i="7" s="1"/>
  <c r="E16" i="7"/>
  <c r="F16" i="7" s="1"/>
  <c r="E17" i="7"/>
  <c r="F17" i="7" s="1"/>
  <c r="E18" i="7"/>
  <c r="F18" i="7" s="1"/>
  <c r="E19" i="7"/>
  <c r="F19" i="7" s="1"/>
  <c r="E20" i="7"/>
  <c r="F20" i="7" s="1"/>
  <c r="E21" i="7"/>
  <c r="F21" i="7" s="1"/>
  <c r="E22" i="7"/>
  <c r="F22" i="7" s="1"/>
  <c r="E23" i="7"/>
  <c r="F23" i="7" s="1"/>
  <c r="E24" i="7"/>
  <c r="F24" i="7" s="1"/>
  <c r="E56" i="7"/>
  <c r="F56" i="7" s="1"/>
  <c r="E25" i="7"/>
  <c r="F25" i="7" s="1"/>
  <c r="E26" i="7"/>
  <c r="F26" i="7" s="1"/>
  <c r="E27" i="7"/>
  <c r="F27" i="7" s="1"/>
  <c r="E28" i="7"/>
  <c r="F28" i="7" s="1"/>
  <c r="E51" i="7"/>
  <c r="F51" i="7" s="1"/>
  <c r="E52" i="7"/>
  <c r="F52" i="7" s="1"/>
  <c r="E29" i="7"/>
  <c r="F29" i="7" s="1"/>
  <c r="E30" i="7"/>
  <c r="F30" i="7" s="1"/>
  <c r="E31" i="7"/>
  <c r="F31" i="7" s="1"/>
  <c r="E32" i="7"/>
  <c r="F32" i="7" s="1"/>
  <c r="E33" i="7"/>
  <c r="F33" i="7" s="1"/>
  <c r="E34" i="7"/>
  <c r="F34" i="7" s="1"/>
  <c r="E35" i="7"/>
  <c r="F35" i="7" s="1"/>
  <c r="E36" i="7"/>
  <c r="F36" i="7" s="1"/>
  <c r="E37" i="7"/>
  <c r="F37" i="7" s="1"/>
  <c r="E38" i="7"/>
  <c r="F38" i="7" s="1"/>
  <c r="E39" i="7"/>
  <c r="F39" i="7" s="1"/>
  <c r="E40" i="7"/>
  <c r="F40" i="7" s="1"/>
  <c r="E41" i="7"/>
  <c r="F41" i="7" s="1"/>
  <c r="E42" i="7"/>
  <c r="F42" i="7" s="1"/>
  <c r="E43" i="7"/>
  <c r="F43" i="7" s="1"/>
  <c r="E44" i="7"/>
  <c r="F44" i="7" s="1"/>
  <c r="E45" i="7"/>
  <c r="F45" i="7" s="1"/>
  <c r="E46" i="7"/>
  <c r="F46" i="7" s="1"/>
  <c r="E47" i="7"/>
  <c r="F47" i="7" s="1"/>
  <c r="E48" i="7"/>
  <c r="F48" i="7" s="1"/>
  <c r="E50" i="7"/>
  <c r="F50" i="7" s="1"/>
  <c r="E49" i="7"/>
  <c r="F49" i="7" s="1"/>
  <c r="E5" i="7"/>
  <c r="F5" i="7" s="1"/>
  <c r="C3" i="7" l="1"/>
  <c r="D3" i="7" l="1"/>
  <c r="E3" i="7"/>
  <c r="F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A85B47-4413-4DBD-8662-8E6B44B996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B3DFA5-DDAD-44D3-A8F6-38053A030EF1}" name="WorksheetConnection_Paint Stock Working - Issue Slip Entry.xlsx!Table1" type="102" refreshedVersion="8" minRefreshableVersion="5">
    <extLst>
      <ext xmlns:x15="http://schemas.microsoft.com/office/spreadsheetml/2010/11/main" uri="{DE250136-89BD-433C-8126-D09CA5730AF9}">
        <x15:connection id="Table1">
          <x15:rangePr sourceName="_xlcn.WorksheetConnection_PaintStockWorkingIssueSlipEntry.xlsxTable11"/>
        </x15:connection>
      </ext>
    </extLst>
  </connection>
</connections>
</file>

<file path=xl/sharedStrings.xml><?xml version="1.0" encoding="utf-8"?>
<sst xmlns="http://schemas.openxmlformats.org/spreadsheetml/2006/main" count="2230" uniqueCount="354">
  <si>
    <t>Sr. No</t>
  </si>
  <si>
    <t>Material Description</t>
  </si>
  <si>
    <t>Part No</t>
  </si>
  <si>
    <t>UOM</t>
  </si>
  <si>
    <t>Tin/Ltr</t>
  </si>
  <si>
    <t>Batch No</t>
  </si>
  <si>
    <t>MFG Date</t>
  </si>
  <si>
    <t>Expiry Date</t>
  </si>
  <si>
    <t>Client</t>
  </si>
  <si>
    <t>Container No.</t>
  </si>
  <si>
    <t>Hempel's Curing Agent 97068</t>
  </si>
  <si>
    <t>B</t>
  </si>
  <si>
    <t>L</t>
  </si>
  <si>
    <t>No. Of Tins</t>
  </si>
  <si>
    <t>Total Ltr Qty</t>
  </si>
  <si>
    <t xml:space="preserve">Ayana </t>
  </si>
  <si>
    <t>Remarks</t>
  </si>
  <si>
    <t>Penguard Universal Comp B</t>
  </si>
  <si>
    <t>INOX</t>
  </si>
  <si>
    <t>Welspun</t>
  </si>
  <si>
    <t>Hardtop WT8 Comp B</t>
  </si>
  <si>
    <t xml:space="preserve">B </t>
  </si>
  <si>
    <t>Penguard Express Comp B</t>
  </si>
  <si>
    <t>Hempaprime Core 500 47680 RAL 9018</t>
  </si>
  <si>
    <t>A</t>
  </si>
  <si>
    <t>Jotun Thinner No. 17</t>
  </si>
  <si>
    <t>ACME 2.O</t>
  </si>
  <si>
    <t>Jotun Thinner No. 10</t>
  </si>
  <si>
    <t>Hardtop WT8 RAL 7035</t>
  </si>
  <si>
    <t>Penguard Express Grey</t>
  </si>
  <si>
    <t>Penguard Express RAL 9018</t>
  </si>
  <si>
    <t>Jotun Thinner 17</t>
  </si>
  <si>
    <t>Jotun Thinner 10</t>
  </si>
  <si>
    <t>Hardtop XP Base 6A</t>
  </si>
  <si>
    <t>Hardtop XP RAL 7035 A</t>
  </si>
  <si>
    <t>Penguard Uni RAL 7035A</t>
  </si>
  <si>
    <t>Hardtop XP Base 3A</t>
  </si>
  <si>
    <t>Jotun Thinner no. 17</t>
  </si>
  <si>
    <t>Jotun Thinner no. 10</t>
  </si>
  <si>
    <t>Hardtop XP, Comp B</t>
  </si>
  <si>
    <t>Hardtop WT8, Comp B</t>
  </si>
  <si>
    <t xml:space="preserve">Hempaprime Core 500 </t>
  </si>
  <si>
    <t>Hempel's Thinner 8450</t>
  </si>
  <si>
    <t>Today Date</t>
  </si>
  <si>
    <t>International Interthane 990</t>
  </si>
  <si>
    <t>Thermax</t>
  </si>
  <si>
    <t>International Interguard 475 HS</t>
  </si>
  <si>
    <t>International Interprime 198</t>
  </si>
  <si>
    <t>Q0D3046002</t>
  </si>
  <si>
    <t>Q0D2354053</t>
  </si>
  <si>
    <t>Q0D2029004</t>
  </si>
  <si>
    <t>Q0D2272028</t>
  </si>
  <si>
    <t>International Interguard 475 HS RAL 7035</t>
  </si>
  <si>
    <t>Q0D2326006</t>
  </si>
  <si>
    <t>International Interlax 665 RAL 1017</t>
  </si>
  <si>
    <t>YB4100GZ</t>
  </si>
  <si>
    <t xml:space="preserve">Jotun Barrier 80S Grey A </t>
  </si>
  <si>
    <t>Jotun Barrier 80S Comp B</t>
  </si>
  <si>
    <t>Need to check date from system</t>
  </si>
  <si>
    <t>Adani</t>
  </si>
  <si>
    <t>need to check batch number again</t>
  </si>
  <si>
    <t>Hemaprime Multi 500</t>
  </si>
  <si>
    <t>Jotun Barrier 80 X Comp A</t>
  </si>
  <si>
    <t>Jotun Barrier 80 X Comp B</t>
  </si>
  <si>
    <t>Hempel's Thinner 08080</t>
  </si>
  <si>
    <t>Hempel's Curing Agent 95090</t>
  </si>
  <si>
    <t>Hempathane HS 55610</t>
  </si>
  <si>
    <t>Hempel Curing agent 97043</t>
  </si>
  <si>
    <t>Hempel Curing agent 97050</t>
  </si>
  <si>
    <t>Hempel Thinner 08450</t>
  </si>
  <si>
    <t>Hempadur Avantguard 750</t>
  </si>
  <si>
    <t>Jotun Thinner No. 25</t>
  </si>
  <si>
    <t>NEED TO CHECK IN SYSTEM FOR DATE &amp; CLIENT</t>
  </si>
  <si>
    <t>Senvion</t>
  </si>
  <si>
    <t>Hempathane HS 5561</t>
  </si>
  <si>
    <t>NEED TO TIN/LTR LIKELY TO BE 20 BUT MENTIONED 5</t>
  </si>
  <si>
    <t>Hardtop XP Comp B</t>
  </si>
  <si>
    <t>NEED TO CONFIRM PROJECT NAME</t>
  </si>
  <si>
    <t>Barrier 80 Comp. B</t>
  </si>
  <si>
    <t>NEED TO CHECK FROM SYSTEM FOR DATE &amp; PROJECT NAME</t>
  </si>
  <si>
    <t>Penguard Express RAL 7035</t>
  </si>
  <si>
    <t>Hardtop XP Base 3A RAL 5015</t>
  </si>
  <si>
    <t>Hardtop XP Base 3A RAL 3028</t>
  </si>
  <si>
    <t>Hardtop XP Base 3A RAL 9005</t>
  </si>
  <si>
    <t>Hempel Thinner 08080</t>
  </si>
  <si>
    <t>Hempel Curing agent 95090</t>
  </si>
  <si>
    <t>Barrier 80s Grey</t>
  </si>
  <si>
    <t>Hardtop XP II Base 1A</t>
  </si>
  <si>
    <t>Pengurad Express CF Comp B</t>
  </si>
  <si>
    <t>SGRE</t>
  </si>
  <si>
    <t>Renew</t>
  </si>
  <si>
    <t>Penguard Express CF RAL 1013</t>
  </si>
  <si>
    <t>Barrier 80 X Comp A</t>
  </si>
  <si>
    <t>need to confirm the client name</t>
  </si>
  <si>
    <t>Hardtop WT8 RAL 9018</t>
  </si>
  <si>
    <t>need to check tin/ltr might be 16.7</t>
  </si>
  <si>
    <t>need to check the batch number</t>
  </si>
  <si>
    <t>Hardtop XP RAL 9018</t>
  </si>
  <si>
    <t>Hardtop XP RAL 9002</t>
  </si>
  <si>
    <t>Penguard Express CF Comp B</t>
  </si>
  <si>
    <t>Jotumastic 80 Grey A</t>
  </si>
  <si>
    <t>3221566 same as line no 180</t>
  </si>
  <si>
    <t>Resist 86 Grey A</t>
  </si>
  <si>
    <t>Jotun Zinc 100 Comp B</t>
  </si>
  <si>
    <t>Penguard Uni Grey A</t>
  </si>
  <si>
    <t>Barrier 80 X Comp. B</t>
  </si>
  <si>
    <t>need to confirm the expiry date</t>
  </si>
  <si>
    <t>New date changed</t>
  </si>
  <si>
    <t>3640966 need to check batch again 202</t>
  </si>
  <si>
    <t>3640966 need to check batch again 193</t>
  </si>
  <si>
    <t>3882754 need to check batch number again 72</t>
  </si>
  <si>
    <t>3882754 need to check batch number again 73</t>
  </si>
  <si>
    <t>need to check expiry date</t>
  </si>
  <si>
    <t>Remaining Day left for expiry</t>
  </si>
  <si>
    <t>PO No</t>
  </si>
  <si>
    <t>Out/system</t>
  </si>
  <si>
    <t>NR</t>
  </si>
  <si>
    <t>System</t>
  </si>
  <si>
    <t>correction done</t>
  </si>
  <si>
    <t>OK checked again</t>
  </si>
  <si>
    <t>Final Remarks</t>
  </si>
  <si>
    <t>reason</t>
  </si>
  <si>
    <t>own purchased, reason</t>
  </si>
  <si>
    <t>Grand Total</t>
  </si>
  <si>
    <t>Expired</t>
  </si>
  <si>
    <t>Not Expired</t>
  </si>
  <si>
    <t>Expired Total</t>
  </si>
  <si>
    <t>Not Expired Total</t>
  </si>
  <si>
    <t>Sum of No. Of Tins</t>
  </si>
  <si>
    <t>Sum of Total Ltr Qty</t>
  </si>
  <si>
    <t>Expired more than 45 Days</t>
  </si>
  <si>
    <t>Expired more than 45 Days Total</t>
  </si>
  <si>
    <t>Recently Expired within 45 Days ago</t>
  </si>
  <si>
    <t>Recently Expired within 45 Days ago Total</t>
  </si>
  <si>
    <t>Will be Expire within 45 Days</t>
  </si>
  <si>
    <t>Will be Expire within 45 Days Total</t>
  </si>
  <si>
    <t>Not Expire</t>
  </si>
  <si>
    <t>Not Expire Total</t>
  </si>
  <si>
    <t>Status</t>
  </si>
  <si>
    <t>COMMON USE</t>
  </si>
  <si>
    <t>ACME</t>
  </si>
  <si>
    <t>% wise contribution</t>
  </si>
  <si>
    <t>ICD</t>
  </si>
  <si>
    <t>AYANA 364 TN 01 S1</t>
  </si>
  <si>
    <t xml:space="preserve">TOWER NO. SECTION NO. </t>
  </si>
  <si>
    <t>Hempel Curing Agent 97050</t>
  </si>
  <si>
    <t xml:space="preserve">Hempathane HS 55619 RAL 2009 </t>
  </si>
  <si>
    <t xml:space="preserve">A </t>
  </si>
  <si>
    <t xml:space="preserve">WELSPUN TN 6 S5 </t>
  </si>
  <si>
    <t>AYANA 364 TN 1 S5</t>
  </si>
  <si>
    <t>Hardtop XP Base 3A RAL 6029</t>
  </si>
  <si>
    <t>Hardtop XP Base 1A RAL 9002</t>
  </si>
  <si>
    <t>Hardtop XP II Comp B RAL 9005</t>
  </si>
  <si>
    <t>Hardtop XP II Base 1A RAL 9003</t>
  </si>
  <si>
    <t>Hempathane HS 55610 RAL 7035</t>
  </si>
  <si>
    <t>(blank)</t>
  </si>
  <si>
    <t>(blank) Total</t>
  </si>
  <si>
    <t>SGRE 620215 S5 Dt. 14.07.2025</t>
  </si>
  <si>
    <t>ADANI TN 19 SG2</t>
  </si>
  <si>
    <t>International Thinner GT 803</t>
  </si>
  <si>
    <t>ADANI TN 19 SG3</t>
  </si>
  <si>
    <t xml:space="preserve">ADANI TN 19 SG2, ADANI TN 19 SG3, ADANI TN 19 SG1, ADANI TN 19 SG4 </t>
  </si>
  <si>
    <t>ADANI TN 19 SG4</t>
  </si>
  <si>
    <t>ADANI TN 19 SG2, ADANI TN 19 SG4, ADANI TN 19 SG1</t>
  </si>
  <si>
    <t>AYANA 364 TN 01 S1, ADANI TN 19 SG4, ADANI TN 19 SG1</t>
  </si>
  <si>
    <t>ACME TN 8 S4 DT. 15.07.2025, ACME TN 8 S3 DT. 19.07.2025, ACME TN 9 S3 DT. 23.07.2025, ACME TN 9 S4 DT. 23.07.2025, ACME TN 9 S2 DT. 26.07.2025</t>
  </si>
  <si>
    <t>ACME TN 8 S5 DT.16.07.2025, ACME TN 9 S5 DT. 27.07.2025</t>
  </si>
  <si>
    <t xml:space="preserve">WELSPUN TN 6 S3, WELSPUN TN 6 S5, WELSPUN TN 6 S4, WELSPUN TN 7 S4 DT. 28.07.2025  </t>
  </si>
  <si>
    <t>WELSPUN TN 6 S3, WELSPUN TN 7 S4 DT. 28.07.2025</t>
  </si>
  <si>
    <t xml:space="preserve">WELSPUN TN 6 S3, WELSPUN TN 7 S4 DT. 28.07.2025 </t>
  </si>
  <si>
    <t>Q0D000</t>
  </si>
  <si>
    <t>Hempal Curing Agent 95070 B</t>
  </si>
  <si>
    <t>Hardtop XP Com B 7035</t>
  </si>
  <si>
    <t>Hardtop XP 1021 A</t>
  </si>
  <si>
    <t>Barrier 80 Comp A</t>
  </si>
  <si>
    <t>Paint Barrier 80 Part A</t>
  </si>
  <si>
    <t>Remark</t>
  </si>
  <si>
    <t>done</t>
  </si>
  <si>
    <t>Done</t>
  </si>
  <si>
    <t>Hardtop XP B 6029</t>
  </si>
  <si>
    <t>Hardtop XP B 9005</t>
  </si>
  <si>
    <t>Hardtop XP Comp B RAL 6029 Mint Green - 1.80 Ltrs.</t>
  </si>
  <si>
    <t>ACME Paint Hardtop XP, Part B Black Ral-9005</t>
  </si>
  <si>
    <t>Paint Penguard Express CF RAL 1013 Part A</t>
  </si>
  <si>
    <t>Ayana Paint Hardtop XP, Part B Oregano Green Ral-1406060</t>
  </si>
  <si>
    <t>Penguard Exp. Gray A</t>
  </si>
  <si>
    <t>Hardtop WT8 RAL 9018 A 16.7</t>
  </si>
  <si>
    <t>Penguard Exp CF 1013 Com A</t>
  </si>
  <si>
    <t>Paint Barrier 80 Part B</t>
  </si>
  <si>
    <t>Barrier 80 S Gray B</t>
  </si>
  <si>
    <t>Hardtop XP Comp B RAL 2009 Traffic Orange</t>
  </si>
  <si>
    <t>Hardtop XP B 2009</t>
  </si>
  <si>
    <t>Hardtop XP B 5015</t>
  </si>
  <si>
    <t>Hardtop XP B 3028</t>
  </si>
  <si>
    <t>ACME Paint Hardtop XP, Part B Perky Blue Ral-5015</t>
  </si>
  <si>
    <t>ACME Paint Hardtop XP, Part B Pure Red Ral-3028</t>
  </si>
  <si>
    <t>Penguard Express B Gray</t>
  </si>
  <si>
    <t>Penguard Express 9018 B</t>
  </si>
  <si>
    <t>Penguard Express Grey Part B (4 Ltr)</t>
  </si>
  <si>
    <t>Penguard Express Ral 9018 (Part B)</t>
  </si>
  <si>
    <t>Hardtop Part B Blue</t>
  </si>
  <si>
    <t>Hardtop Part B  Orange</t>
  </si>
  <si>
    <t>Hardtop XP RAL 5013  Part B</t>
  </si>
  <si>
    <t>Row Labels</t>
  </si>
  <si>
    <t>a</t>
  </si>
  <si>
    <t>Newly added</t>
  </si>
  <si>
    <t>Hardtop WT8 7035 B</t>
  </si>
  <si>
    <t>Jotun Thinner No-25</t>
  </si>
  <si>
    <t>Thinner GTA 803</t>
  </si>
  <si>
    <t>Penguard Express Gray Part A (16 Ltr)</t>
  </si>
  <si>
    <t>Interguard 475HS Ral Tropical</t>
  </si>
  <si>
    <t>Interprime 198 CPA 098</t>
  </si>
  <si>
    <t>Interlac 665 Ral 1017CLS179</t>
  </si>
  <si>
    <t>Interguard 475HS Ral 7035</t>
  </si>
  <si>
    <t>Paint Penguard Express CF RAL 1013 Part B</t>
  </si>
  <si>
    <t>Interthane 990</t>
  </si>
  <si>
    <t>Barrier 80X A</t>
  </si>
  <si>
    <t>Hempaprime multi 500 A</t>
  </si>
  <si>
    <t>Jotun Thinner No.17</t>
  </si>
  <si>
    <t>OC2 JotaMastic 80 Grey Part A</t>
  </si>
  <si>
    <t>ACME Paint Hardtop XP, Part A Black Ral-9005</t>
  </si>
  <si>
    <t>Hempathane HS 55610 A 9002</t>
  </si>
  <si>
    <t>Penguard Express Ral 9018 (Part A)</t>
  </si>
  <si>
    <t>Hempaprime multi 5561B 7035</t>
  </si>
  <si>
    <t xml:space="preserve">Penguard Exp. Gray </t>
  </si>
  <si>
    <t>Paint Resisit 86 Part A 8</t>
  </si>
  <si>
    <t>Penguard Exp. 9018 A</t>
  </si>
  <si>
    <t>Hempaprime Core 500 (47680) 9018 Part - A, Pack Size -16.4Ltrs.</t>
  </si>
  <si>
    <t>Hempaprime Core 500 (47680) 9018 Part - B, Pack Size -3.6Ltrs.</t>
  </si>
  <si>
    <t>Hempaprime Core 500 (47680), Grey Part -B, Pack Size -3.6Ltrs.</t>
  </si>
  <si>
    <t>Hardtop WT8 RAL 9018 B 3.3</t>
  </si>
  <si>
    <t>Hemapadur avantagard 750</t>
  </si>
  <si>
    <t>Hardtop XP Comp A RAL9018</t>
  </si>
  <si>
    <t>Hempaprime Core 500 (47680), Grey Part -A , Pack Size -16.4Ltrs.</t>
  </si>
  <si>
    <t>Hemal curring Agent 95090</t>
  </si>
  <si>
    <t>Hardtop XP Comp B RAL 9018</t>
  </si>
  <si>
    <t>Ayana Paint Hardtop XP, Part B Hyacinth Blue Ral-2804045</t>
  </si>
  <si>
    <t>Hempal Curing Agent 95090 B</t>
  </si>
  <si>
    <t>Hempal Curing Agent 97050 B</t>
  </si>
  <si>
    <t>Hardtop XP Comp A RAL 6029 Mint Green - 18.174 Ltrs.</t>
  </si>
  <si>
    <t>Hempathane HS 55610 A</t>
  </si>
  <si>
    <t>Senvion HARDTOP XP RAL 9002 A 18.2L</t>
  </si>
  <si>
    <t>Hempal Curing Agent 95043 B</t>
  </si>
  <si>
    <t>Senvion HARDTOP XP RAL 7035 A 18.2L</t>
  </si>
  <si>
    <t>Hempal Curing Agent 97043 B</t>
  </si>
  <si>
    <t>Renew HARDTOP WT8 RAL 7035 A 4.17 L</t>
  </si>
  <si>
    <t>Renew HARDTOP WT8 RAL 7035 B 0.83 L</t>
  </si>
  <si>
    <t>Paint Penguard Express RAL 7035 Comp A</t>
  </si>
  <si>
    <t>Senvion /Renew Hardtop WT8 RAL 7035 Part B</t>
  </si>
  <si>
    <t>Jotun Thinner No.10</t>
  </si>
  <si>
    <t>Paint Penguard Express RAL 7035 Comp. B</t>
  </si>
  <si>
    <t>Hardtop WT8 7035</t>
  </si>
  <si>
    <t>ACME Paint Hardtop XP, Part A Perky Blue Ral-5015</t>
  </si>
  <si>
    <t>Renew HARDTOP XPF RAL 7035 B 0.45 L</t>
  </si>
  <si>
    <t>Thinner 8450</t>
  </si>
  <si>
    <t>Ayana Paint Hardtop XP, Part A Oregano Green Ral-1406060</t>
  </si>
  <si>
    <t>Ayana Paint Hardtop XP, Part A Hyacinth Blue Ral-2804045</t>
  </si>
  <si>
    <t>HARDTOP WT8 RAL 7035 B 3.3 Ltr</t>
  </si>
  <si>
    <t>HARDTOP WT8 RAL 7035 A (16.7 Ltr)</t>
  </si>
  <si>
    <t>Penguard Universal 7035 A</t>
  </si>
  <si>
    <t>Penguard Universal 7035 &amp; Gray</t>
  </si>
  <si>
    <t>Thinner No.10</t>
  </si>
  <si>
    <t>Thinner No.17</t>
  </si>
  <si>
    <t>Hardtop XP804 HR Night Blue B</t>
  </si>
  <si>
    <t>OC2 JOTUN ZINC 100, B 2.6L</t>
  </si>
  <si>
    <t>Hardtop XP 2009</t>
  </si>
  <si>
    <t>Hardtop XP804 HR Night Blue</t>
  </si>
  <si>
    <t>Hardtop XP 7035</t>
  </si>
  <si>
    <t>Penguard Universal Gray A</t>
  </si>
  <si>
    <t>Hardtop XP II RAL 9003 Part A 16.02Ltrs.</t>
  </si>
  <si>
    <t>Hardtop XP Comp A RAL 2009 Traffic Orange - 16.807 Ltrs.</t>
  </si>
  <si>
    <t>Hardtop XP II RAL 9003 Part B 2.2Ltrs.</t>
  </si>
  <si>
    <t>Hardtop XP RAL 5013  Part A</t>
  </si>
  <si>
    <t>Hardtop XP Comp A RAL 2009 Traffic Orange</t>
  </si>
  <si>
    <t>Thinner 8450, Pack size :- 20Ltrs.</t>
  </si>
  <si>
    <t>Thinner 8080</t>
  </si>
  <si>
    <t>Thinner 8080, Pack size :- 20Ltrs.</t>
  </si>
  <si>
    <t>Hempathane HS 55610 (RAL 2009), Part -A, Pack Size -17.5Ltrs.</t>
  </si>
  <si>
    <t>Hempathane HS 55610 (RAL 2009), Part -B, Pack Size -2.5Ltrs.</t>
  </si>
  <si>
    <t>Avantaguard 750 A</t>
  </si>
  <si>
    <t>DFIPL Purchase</t>
  </si>
  <si>
    <t>Customer</t>
  </si>
  <si>
    <t>Procure</t>
  </si>
  <si>
    <t>ACME Paint Hardtop XP, Part A Pure Red Ral-3028</t>
  </si>
  <si>
    <t>Tally Stock</t>
  </si>
  <si>
    <t>Diff</t>
  </si>
  <si>
    <t>Thinner 17</t>
  </si>
  <si>
    <t>Issue Tin Qty</t>
  </si>
  <si>
    <t>Balance Qty</t>
  </si>
  <si>
    <t>Sum of Balance Qty</t>
  </si>
  <si>
    <t>Tower No</t>
  </si>
  <si>
    <t>WELSPUN TN 6 S4 AND S5, WELSPUN TN 6 S1 DT. 15.07.2025, WELSPUN TN 6 S1 DT. 15.07.2025, WELSPUN TN 7 S3 DT. 25.07.2025, WELSPUN TN 7 S2 DT. 24.07.2025, WELSPUN TN 7 S4 DT. 28.07.2025, WELSPUN TN 7 S5 DT. 01.08.2025</t>
  </si>
  <si>
    <t>SGRE 620173 S3 DT. 02.08.2025</t>
  </si>
  <si>
    <t>SGRE 620215 S5 Dt. 14.07.2025, SGRE 620173 S3 DT. 02.08.2025</t>
  </si>
  <si>
    <t>ACME TN 7 -S3, ACME TN 7 S4, ACME TN 7 S5, ACME TN 8 S4 DT. 14.07.2025, ACME TN 8 S4 DT. 15.07.2025, ACME TN 8 S5 DT. 16.07.2025, ACME TN 9 S3 DT. 22.07.2025, ACME TN 9 S5 DT. 27.07.2025, ACME TN 10 S4 DT. 30.07.2025, ACME TN 10 S2 DT. 04.08.2025</t>
  </si>
  <si>
    <t>ACME TN 7 -S3, ACME TN 7 S5, ACME TN 8 S2, ACME TN 9 S5 DT. 27.07.2025</t>
  </si>
  <si>
    <t xml:space="preserve"> </t>
  </si>
  <si>
    <t>ADANI TN 19 SG2, ADANI TN 19 SG3, ADANI TN 19 SG1, ADANI TN 19 SG5</t>
  </si>
  <si>
    <t>ADANI TN 19 SG5</t>
  </si>
  <si>
    <t>AYANA 364 TN 01 S1, ADANI TN 19 SG3, ADANI TN 19 SG5</t>
  </si>
  <si>
    <t>ADANI TN 19 SG2, ADANI TN 19 SG4, ADANI TN 19 SG1, ADANI TN 19 SG5</t>
  </si>
  <si>
    <t>ADANI TN 19 SG2, ADANI TN 19 SG3, ADANI TN 19 SG5</t>
  </si>
  <si>
    <t>ACME TN 7 - S4, ACME TN 7 S3, ACME TN 7 S5, ACME TN 8 S4 DT. 14.07.2025, ACME TN 8 S3 DT. 18.07.2025, ACME TN 8 S3 DT. 19.07.2025, ACME TN 9 S3 DT. 22.07.2025, ACME TN 9 S4 DT. 23.07.2025, ACME TN 9 S2 DT. 26.07.2025, ACME TN 9 S5 DT. 27.07.2025, ACME TN 10 S4 DT. 30.07.2025, ACME TN 10 S2 DT. 04.08.2025, ACME TN 8 S1 DT. 05.08.2025, ACME TN 10 S5 DT. 06.08.2025</t>
  </si>
  <si>
    <t>ACME TN 7 S3, ACME TN 9 S4 DT. 23.07.2025, ACME TN 10 S5 DT. 06.08.2025, ACME TN 9 S1 DT. 07.08.2025, ACME TN 11 S2 DT. 09.08.2025</t>
  </si>
  <si>
    <t>SGRE 620173 S3 DT. 02.08.2025, SGRE 620205 S5 DT. 12.08.2025</t>
  </si>
  <si>
    <t>SGRE 620205 S5 DT. 12.08.2025</t>
  </si>
  <si>
    <t>SGRE 620215 S5 Dt. 14.07.2025, SGRE 620173 S3 DT. 02.08.2025, SGRE 620205 DT. 12.08.2025</t>
  </si>
  <si>
    <t xml:space="preserve">WELSPUN TN 5 S5, WELSPUN TN 6 S3, WELSPUN TN 6 S5, WELSPUN TN 6 S4, WELSPUN TN 8 S4 DT. 13.08.2025 </t>
  </si>
  <si>
    <t xml:space="preserve">WELSPUN TN 5 S5, ACME TN 7 S5, WELSPUN TN 6 S5, ACME TN 8 S5 DT. 16.07.2025, WELSPUN TN 7 S2 DT. 24.07.2025, WELSPUN TN 7 S5 DT. 01.08.2025, ACME TN 11 S4 DT. 16.08.2025, WELSPUN TN 9 S2 DT. 19.08.2025 </t>
  </si>
  <si>
    <t xml:space="preserve">WELPSUN TN 6 S3,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t>
  </si>
  <si>
    <t xml:space="preserve">WELSPUN TN 6 S3, WELSPUN TN 6 S5,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t>
  </si>
  <si>
    <t xml:space="preserve">WELSPUN TN 6 S5 AND S4, WELSPUN TN 7 S5 DT. 01.08.2025, WESLPUN TN 9 S3 DT. 20.08.2025 </t>
  </si>
  <si>
    <t>ACME TN 9 S1 DT. 07.08.2025, ACME TN 11 S2 DT. 09.08.2025, ACME TN 11 S5 DT. 14.08.2025, ACME TN 11 S4 DT. 16.08.2025, ACME TN 10 S1 DT. 22.08.2025</t>
  </si>
  <si>
    <t>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t>
  </si>
  <si>
    <t>ACME TN 7 S4, ACME TN 7 S3, ACME TN 11 S2 DT. 11.08.2025, ACME TN 11 S5 DT. 14.08.2025, ACME TN 12 S4 DT. 25.08.2025</t>
  </si>
  <si>
    <t>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 WELSPUN TN 9 S5 DT. 25.08.2025</t>
  </si>
  <si>
    <t>ACME TN 7 S4, ACME TN 7 S3, ACME TN 8 S2, ACME TN 8 S4 DT. 14.07.2025, ACME TN 8 S4 DT. 15.07.2025, ACME TN 8 S5 DT. 16.07.2025, ACME TN 8 S3 DT. 18.07.2025, ACME TN 8 S3 DT. 19.07.2025, ACME TN 9 S3 DT. 22.07.2025, 23.07.2025, ACME TN 9 S4 DT. 23.07.2025, ACME TN 9 S2 DT.26.07.2025, ACME TN 9 S5 DT. 27.07.2025,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t>
  </si>
  <si>
    <t>ACME TN 12 S4 DT. 24.08.2025, ACME TN 12 S3 DT. 26.08.2025, ACME TN 11 S1 DT. 26.08.2025</t>
  </si>
  <si>
    <t xml:space="preserve">ACME TN 10 S2 DT. 04.08.2025, ACME TN 10 S5 DT. 06.08.2025, ACME TN 9 S1 DT. 07.08.2025, ACME TN 11 S2 DT. 09.08.2025, ACME TN 11 S5 DT. 14.08.2025, ACME TN 11 S4 DT. 16.08.2025, ACME TN 10 S1 DT. 22.08.2025, ACME TN 12 S4 DT. 24.08.2025, ACME TN 12 S3 DT. 26.08.2025, ACME TN 11 S1 DT. 26.08.2025 </t>
  </si>
  <si>
    <t>ACME TN 12 S3 DT. 26.08.2025, ACME TN 11 S1 DT. 26.08.2025</t>
  </si>
  <si>
    <t xml:space="preserve">ACME TN 7 S5, ACME TN 8 S2, ACME TN 8 S5 DT. 16.07.2025,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 ACME TN 11 S1 DT. 26.08.2025 </t>
  </si>
  <si>
    <t xml:space="preserve">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 ACME TN 11 S1 DT. 26.08.2025 </t>
  </si>
  <si>
    <t>ACME TN 9 S2 DT. 26.07.2025, ACME TN 8 S1 DT. 05.08.2025, ACME TN 11 S2 DT. 09.08.2025, ACME TN 11 S5 DT. 14.08.2025, ACME TN 11 S4 DT. 16.08.2025, ACME TN 10 S1 DT. 22.08.2025, ACME TN 12 S4 DT. 24.08.2025, ACME TN 12 S3 DT. 26.08.2025, ACME TN 11 S1 DT. 26.08.2025</t>
  </si>
  <si>
    <t>WELSPUN TN 5 S5, ACME TN 7 S5, WELSPUN TN 6 S5, WELSPUN TN 7 S2 DT. 24.07.2025, WELSPUN TN 7 S5 DT. 01.08.2025, ACME TN 10 S5 DT. 06.08.2025, ACME TN 11 S4 DT. 16.08.2025, WELSPUN TN 9 S2 DT. 19.08.2025, WELSPUN TN 9 S5 DT. 25.08.2025, WELSPUN TN 10 S5 DT. 27.08.2025</t>
  </si>
  <si>
    <t>ACME TN 9 S5 DT. 27.07.2025, ACME TN 10 S5 DT. 06.08.2025, WELSPUN TN 9 S5 DT. 25.08.2025, WELSPUN TN 10 S5 DT. 27.08.2025</t>
  </si>
  <si>
    <t xml:space="preserve">WELSPUN TN 6 S3, WELSPUN TN 6 S5,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21.08.2025,WELSPUN TN 9 S1 DT. 23.08.2025, WELSPUN TN 9 S5 DT. 25.08.2025, WELSPUN TN 10 S5 DT. 27.08.2025  </t>
  </si>
  <si>
    <t>WELPSUN TN 10 S5 DT. 27.08.2025, WELSPUN TN 8 S1 DT. 28.08.2025</t>
  </si>
  <si>
    <t xml:space="preserve">WELSPUN TN 6 S3, WELSPUN TN 7 S3 DT. 27.07.2025, WELSPUN TN 7 S5 DT. 01.08.2025, WELSPUN TN 8 S3 DT. 08.08.2025, WELSPUN TN 8 S2 DT. 13.08.2025, WELSPUN  TN 8 S4 DT. 13.08.2025, WELSPUN TN 8 S5 DT. 17.08.2025, WELSPUN TN 7 S1 DT. 18.08.2025, WELSPUN TN 9 S2 DT. 19.08.2025, WELSPUN TN 9 S2 DT. 19.08.2025, WELSPUN TN 9 S3 DT. 20.08.2025, WELSPUN TN 9 S4 DT. 21.08.2025, WELSPUN TN 9 S5 DT. 25.08.2025, WELSPUN TN 10 S5 DT. 27.08.2025, WELSPUN TN 10 S5 DT. 27.08.2025, WELSPUN TN 8 S1 DT. 28.08.2025 </t>
  </si>
  <si>
    <t>WELSPUN TN 6 S1 DT. 15.07.2025, WELSPUN TN 7 S3 DT. 25.07.2025, WELSPUN TN 7 S2 DT. 24.07.2025, WELSPUN TN 7 S3 DT. 27.07.2025,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 WELSPUN TN 9 S5 DT. 25.08.2025, WELSPUN TN 10 S5 DT. 27.08.2025, WELSPUN TN 8 S1 DT. 28.08.2025</t>
  </si>
  <si>
    <t>WELSPUN TN 9 S3 DT. 20.08.2025, WELSPUN TN 9 S4 DT. 21.08.2025, WELSPUN TN 9 S5 DT. 25.08.2025, WELSPUN TN 10 S5 DT. 27.08.2025, WELSPUN TN 8 S1 DT. 28.08.2025</t>
  </si>
  <si>
    <t>WELSPUN TN 6 S3, WELSPUN TN 6 S1 DT. 15.07.2025, WELSPUN TN 7 S3 DT. 25.07.2025, WELSPUN TN 7 S2 DT. 24.07.2025, WELSPUN TN 7 S4 DT. 28.07.2025, WELSPUN TN 8 S3 DT. 08.08.2025, WELSPUN TN 8 S2 DT. 13.08.2025, WELSPUN TN 8 S4 DT. 13.08.2025, WELSPUN TN 8 S5 DT. 17.08.2025, WELSPUN TN 7 S1 DT. 18.08.2025, WELSPUN TN 9 S2 DT. 19.08.2025, WELSPUN TN 9 S3 DT. 20.08.2025, WELSPUN TN 9 S4 DT. 21.08.2025, WELSPUN TN 9 S5 DT. 25.08.2025, WELSPUN TN 10 S5 DT. 27.08.2025, WELSPUN TN 8 S1 DT. 28.08.2025</t>
  </si>
  <si>
    <t xml:space="preserve">ACME TN 9 S3 DT. 23.07.2025, ACME TN 9 S2 DT. 26.07.2025, ACME TN 10 S4 DT. 30.07.2025, ACME TN 10 S2 DT. 04.08.2025, ACME TN 8 S1 DT. 05.08.2025, ACME TN 10 S5 DT. 06.08.2025, ACME TN 9 S1 DT. 07.08.2025, ACME TN 11 S2 DT. 09.08.2025, ACME  TN 11 S4 DT. 16.08.2025, ACME TN 10 S1 DT. 22.08.2025, ACME TN 12 S4 DT. 24.08.2025, ACME TN 12 S3 DT. 26.08.2025, ACME TN 11 S1 DT. 26.08.2025, WELSPUN TN 8 S1 DT. 28.08.2025 </t>
  </si>
  <si>
    <t>Balance</t>
  </si>
  <si>
    <t>Tally</t>
  </si>
  <si>
    <t>Hempathane 55610, 7035 Part -B, Pack Size -2.5Ltrs.</t>
  </si>
  <si>
    <t>Hempathane 55610, 7035 Part -A, Pack Size -17.5Ltrs.</t>
  </si>
  <si>
    <t>(Multiple Items)</t>
  </si>
  <si>
    <t>14/7 OLD</t>
  </si>
  <si>
    <t>Issue Ltr Qty 28/8</t>
  </si>
  <si>
    <t>Issuance as per TALLY</t>
  </si>
  <si>
    <t>Issuance as per Paint Stock Sheet</t>
  </si>
  <si>
    <t>Diff tally vs Sheet</t>
  </si>
  <si>
    <t>Items</t>
  </si>
  <si>
    <t>Diff.</t>
  </si>
  <si>
    <t>No. of Tins not issued in sheet</t>
  </si>
  <si>
    <t>Issue Ltr Qty in Paint Sheet (A)</t>
  </si>
  <si>
    <t>Issue Ltr Qty in Tally (B)</t>
  </si>
  <si>
    <t>Diff. (C=A-B)</t>
  </si>
  <si>
    <t>Issuance as per TALLY (A) as per 30th July</t>
  </si>
  <si>
    <t>Issuance as per TALLY (B) as per 28th Sept</t>
  </si>
  <si>
    <t>Issuance in system (C=A-B)</t>
  </si>
  <si>
    <t>Issue Ltr Qty in Tally as on 28th Sept (B)</t>
  </si>
  <si>
    <t>Issue sheet vs Tally Stock (C=A-B)</t>
  </si>
  <si>
    <t>Issue Ltr Qty 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</si>
</sst>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7" x14ac:knownFonts="1">
    <font>
      <sz val="11"/>
      <color theme="1"/>
      <name val="Aptos Narrow"/>
      <family val="2"/>
      <scheme val="minor"/>
    </font>
    <font>
      <b/>
      <sz val="11"/>
      <color theme="1"/>
      <name val="Aptos Narrow"/>
      <family val="2"/>
      <scheme val="minor"/>
    </font>
    <font>
      <sz val="11"/>
      <color theme="1"/>
      <name val="Aptos Narrow"/>
      <family val="2"/>
      <scheme val="minor"/>
    </font>
    <font>
      <sz val="10"/>
      <color theme="1"/>
      <name val="Aptos Display"/>
      <family val="2"/>
      <scheme val="major"/>
    </font>
    <font>
      <sz val="11"/>
      <name val="Aptos Narrow"/>
      <family val="2"/>
      <scheme val="minor"/>
    </font>
    <font>
      <sz val="10"/>
      <name val="Aptos Display"/>
      <family val="2"/>
      <scheme val="major"/>
    </font>
    <font>
      <b/>
      <sz val="11"/>
      <color theme="0"/>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5"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43" fontId="2" fillId="0" borderId="0" applyFont="0" applyFill="0" applyBorder="0" applyAlignment="0" applyProtection="0"/>
  </cellStyleXfs>
  <cellXfs count="91">
    <xf numFmtId="0" fontId="0" fillId="0" borderId="0" xfId="0"/>
    <xf numFmtId="4" fontId="0" fillId="0" borderId="0" xfId="0" applyNumberFormat="1"/>
    <xf numFmtId="0" fontId="0" fillId="0" borderId="1" xfId="0" applyBorder="1"/>
    <xf numFmtId="4" fontId="0" fillId="0" borderId="1" xfId="0" applyNumberFormat="1" applyBorder="1"/>
    <xf numFmtId="3" fontId="0" fillId="0" borderId="0" xfId="0" applyNumberFormat="1"/>
    <xf numFmtId="0" fontId="0" fillId="0" borderId="1" xfId="0" pivotButton="1" applyBorder="1"/>
    <xf numFmtId="3" fontId="0" fillId="0" borderId="1" xfId="0" applyNumberFormat="1" applyBorder="1"/>
    <xf numFmtId="0" fontId="0" fillId="2" borderId="1" xfId="0" applyFill="1" applyBorder="1"/>
    <xf numFmtId="3" fontId="0" fillId="2" borderId="1" xfId="0" applyNumberFormat="1" applyFill="1" applyBorder="1"/>
    <xf numFmtId="3" fontId="1" fillId="3" borderId="1" xfId="0" applyNumberFormat="1" applyFont="1" applyFill="1" applyBorder="1"/>
    <xf numFmtId="0" fontId="0" fillId="0" borderId="1" xfId="0" applyBorder="1" applyAlignment="1">
      <alignment horizontal="center" vertical="center"/>
    </xf>
    <xf numFmtId="4" fontId="0" fillId="0" borderId="2" xfId="0" applyNumberFormat="1" applyBorder="1" applyAlignment="1">
      <alignment horizontal="center" vertical="center" wrapText="1"/>
    </xf>
    <xf numFmtId="0" fontId="0" fillId="0" borderId="1" xfId="0" applyBorder="1" applyAlignment="1">
      <alignment horizontal="left"/>
    </xf>
    <xf numFmtId="0" fontId="3" fillId="0" borderId="1" xfId="0" applyFont="1" applyBorder="1"/>
    <xf numFmtId="0" fontId="0" fillId="4" borderId="0" xfId="0" applyFill="1"/>
    <xf numFmtId="49" fontId="3" fillId="0" borderId="1" xfId="0" applyNumberFormat="1" applyFont="1" applyBorder="1" applyAlignment="1">
      <alignment vertical="top"/>
    </xf>
    <xf numFmtId="0" fontId="0" fillId="0" borderId="0" xfId="0" pivotButton="1"/>
    <xf numFmtId="0" fontId="0" fillId="0" borderId="0" xfId="0" applyAlignment="1">
      <alignment horizontal="left"/>
    </xf>
    <xf numFmtId="0" fontId="0" fillId="0" borderId="1" xfId="0" applyBorder="1" applyAlignment="1">
      <alignment horizontal="right" vertical="center"/>
    </xf>
    <xf numFmtId="14" fontId="0" fillId="0" borderId="1" xfId="0" applyNumberFormat="1" applyBorder="1"/>
    <xf numFmtId="15" fontId="0" fillId="0" borderId="1" xfId="0" applyNumberFormat="1" applyBorder="1"/>
    <xf numFmtId="0" fontId="4" fillId="0" borderId="1" xfId="0" applyFont="1" applyBorder="1"/>
    <xf numFmtId="0" fontId="4" fillId="0" borderId="1" xfId="0" applyFont="1" applyBorder="1" applyAlignment="1">
      <alignment horizontal="right" vertical="center"/>
    </xf>
    <xf numFmtId="14" fontId="4" fillId="0" borderId="1" xfId="0" applyNumberFormat="1" applyFont="1" applyBorder="1"/>
    <xf numFmtId="0" fontId="4" fillId="0" borderId="0" xfId="0" applyFont="1"/>
    <xf numFmtId="0" fontId="5" fillId="0" borderId="1" xfId="0" applyFont="1" applyBorder="1"/>
    <xf numFmtId="0" fontId="0" fillId="0" borderId="1" xfId="0" applyBorder="1" applyAlignment="1">
      <alignment horizontal="center"/>
    </xf>
    <xf numFmtId="0" fontId="0" fillId="0" borderId="1" xfId="0" applyBorder="1" applyAlignment="1">
      <alignment horizontal="right"/>
    </xf>
    <xf numFmtId="14" fontId="0" fillId="0" borderId="1" xfId="0" applyNumberFormat="1" applyBorder="1" applyAlignment="1">
      <alignment horizontal="right"/>
    </xf>
    <xf numFmtId="4" fontId="0" fillId="0" borderId="1" xfId="0" applyNumberFormat="1" applyBorder="1" applyAlignment="1">
      <alignment horizontal="right"/>
    </xf>
    <xf numFmtId="4" fontId="0" fillId="0" borderId="1" xfId="0" applyNumberFormat="1" applyBorder="1" applyAlignment="1">
      <alignment horizontal="center"/>
    </xf>
    <xf numFmtId="0" fontId="0" fillId="0" borderId="0" xfId="0" applyAlignment="1">
      <alignment wrapText="1"/>
    </xf>
    <xf numFmtId="0" fontId="0" fillId="0" borderId="1" xfId="0" quotePrefix="1" applyBorder="1"/>
    <xf numFmtId="0" fontId="0" fillId="0" borderId="1" xfId="0" applyBorder="1" applyAlignment="1">
      <alignment horizontal="left" vertical="center"/>
    </xf>
    <xf numFmtId="14" fontId="0" fillId="0" borderId="1" xfId="0" applyNumberFormat="1" applyBorder="1" applyAlignment="1">
      <alignment horizontal="center" vertical="center"/>
    </xf>
    <xf numFmtId="4" fontId="0" fillId="0" borderId="1" xfId="0" applyNumberFormat="1" applyBorder="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4" fontId="0" fillId="0" borderId="1" xfId="0" applyNumberFormat="1" applyBorder="1" applyAlignment="1">
      <alignment vertical="center"/>
    </xf>
    <xf numFmtId="0" fontId="0" fillId="0" borderId="0" xfId="0" applyAlignment="1">
      <alignment vertical="center" wrapText="1"/>
    </xf>
    <xf numFmtId="14" fontId="0" fillId="0" borderId="1" xfId="0" applyNumberFormat="1" applyBorder="1" applyAlignment="1">
      <alignment horizontal="right" vertical="center"/>
    </xf>
    <xf numFmtId="43" fontId="0" fillId="0" borderId="1" xfId="1" applyFont="1" applyFill="1" applyBorder="1"/>
    <xf numFmtId="4" fontId="0" fillId="0" borderId="1" xfId="0" applyNumberFormat="1" applyBorder="1" applyAlignment="1">
      <alignment horizontal="right" vertical="center"/>
    </xf>
    <xf numFmtId="4" fontId="0" fillId="0" borderId="1" xfId="0" applyNumberFormat="1" applyBorder="1" applyAlignment="1">
      <alignment horizontal="left" vertical="center"/>
    </xf>
    <xf numFmtId="4" fontId="0" fillId="0" borderId="1" xfId="0" applyNumberFormat="1" applyBorder="1" applyAlignment="1">
      <alignment horizontal="left"/>
    </xf>
    <xf numFmtId="4" fontId="4" fillId="0" borderId="1" xfId="0" applyNumberFormat="1" applyFont="1" applyBorder="1"/>
    <xf numFmtId="0" fontId="0" fillId="4" borderId="0" xfId="0" applyFill="1" applyAlignment="1">
      <alignment horizontal="left"/>
    </xf>
    <xf numFmtId="3" fontId="1" fillId="0" borderId="1" xfId="0" applyNumberFormat="1" applyFont="1" applyBorder="1"/>
    <xf numFmtId="9" fontId="1" fillId="0" borderId="1" xfId="0" applyNumberFormat="1" applyFont="1" applyBorder="1"/>
    <xf numFmtId="164" fontId="0" fillId="0" borderId="1" xfId="1" applyNumberFormat="1" applyFont="1" applyFill="1" applyBorder="1"/>
    <xf numFmtId="0" fontId="0" fillId="5" borderId="1" xfId="0" applyFill="1" applyBorder="1" applyAlignment="1">
      <alignment horizontal="right" vertical="center"/>
    </xf>
    <xf numFmtId="0" fontId="0" fillId="6" borderId="0" xfId="0" applyFill="1"/>
    <xf numFmtId="16" fontId="0" fillId="0" borderId="0" xfId="0" applyNumberFormat="1"/>
    <xf numFmtId="0" fontId="1" fillId="0" borderId="1" xfId="0" applyFont="1" applyBorder="1"/>
    <xf numFmtId="0" fontId="0" fillId="0" borderId="4" xfId="0" applyBorder="1"/>
    <xf numFmtId="0" fontId="1" fillId="7" borderId="5" xfId="0" applyFont="1" applyFill="1" applyBorder="1"/>
    <xf numFmtId="0" fontId="1" fillId="7" borderId="6" xfId="0" applyFont="1" applyFill="1" applyBorder="1"/>
    <xf numFmtId="0" fontId="1" fillId="7" borderId="7" xfId="0" applyFont="1" applyFill="1" applyBorder="1"/>
    <xf numFmtId="0" fontId="1" fillId="7" borderId="3" xfId="0" applyFont="1" applyFill="1" applyBorder="1"/>
    <xf numFmtId="4" fontId="1" fillId="7" borderId="3" xfId="0" applyNumberFormat="1" applyFont="1" applyFill="1" applyBorder="1"/>
    <xf numFmtId="0" fontId="1" fillId="8" borderId="5" xfId="0" applyFont="1" applyFill="1" applyBorder="1"/>
    <xf numFmtId="0" fontId="1" fillId="8" borderId="6" xfId="0" applyFont="1" applyFill="1" applyBorder="1"/>
    <xf numFmtId="0" fontId="1" fillId="8" borderId="7" xfId="0" applyFont="1" applyFill="1" applyBorder="1"/>
    <xf numFmtId="0" fontId="1" fillId="8" borderId="3" xfId="0" applyFont="1" applyFill="1" applyBorder="1"/>
    <xf numFmtId="4" fontId="1" fillId="8" borderId="3" xfId="0" applyNumberFormat="1" applyFont="1" applyFill="1" applyBorder="1"/>
    <xf numFmtId="0" fontId="6" fillId="9" borderId="5" xfId="0" applyFont="1" applyFill="1" applyBorder="1"/>
    <xf numFmtId="0" fontId="6" fillId="9" borderId="6" xfId="0" applyFont="1" applyFill="1" applyBorder="1"/>
    <xf numFmtId="0" fontId="6" fillId="9" borderId="7" xfId="0" applyFont="1" applyFill="1" applyBorder="1"/>
    <xf numFmtId="0" fontId="6" fillId="9" borderId="3" xfId="0" applyFont="1" applyFill="1" applyBorder="1"/>
    <xf numFmtId="4" fontId="6" fillId="9" borderId="3" xfId="0" applyNumberFormat="1" applyFont="1" applyFill="1" applyBorder="1"/>
    <xf numFmtId="0" fontId="1" fillId="10" borderId="1" xfId="0" applyFont="1" applyFill="1" applyBorder="1"/>
    <xf numFmtId="0" fontId="1" fillId="10" borderId="5" xfId="0" applyFont="1" applyFill="1" applyBorder="1"/>
    <xf numFmtId="0" fontId="1" fillId="10" borderId="6" xfId="0" applyFont="1" applyFill="1" applyBorder="1"/>
    <xf numFmtId="0" fontId="1" fillId="10" borderId="7" xfId="0" applyFont="1" applyFill="1" applyBorder="1"/>
    <xf numFmtId="0" fontId="1" fillId="0" borderId="11" xfId="0" applyFont="1" applyBorder="1"/>
    <xf numFmtId="0" fontId="0" fillId="0" borderId="12" xfId="0" applyBorder="1"/>
    <xf numFmtId="0" fontId="1" fillId="7" borderId="8" xfId="0" applyFont="1" applyFill="1" applyBorder="1"/>
    <xf numFmtId="0" fontId="1" fillId="7" borderId="9" xfId="0" applyFont="1" applyFill="1" applyBorder="1"/>
    <xf numFmtId="0" fontId="1" fillId="7" borderId="10" xfId="0" applyFont="1" applyFill="1" applyBorder="1"/>
    <xf numFmtId="0" fontId="1" fillId="0" borderId="13" xfId="0" applyFont="1" applyBorder="1"/>
    <xf numFmtId="1" fontId="0" fillId="0" borderId="14" xfId="0" applyNumberFormat="1" applyBorder="1"/>
    <xf numFmtId="0" fontId="0" fillId="0" borderId="14" xfId="0" applyBorder="1"/>
    <xf numFmtId="0" fontId="1" fillId="10" borderId="6" xfId="0" applyFont="1" applyFill="1" applyBorder="1" applyAlignment="1">
      <alignment wrapText="1"/>
    </xf>
    <xf numFmtId="0" fontId="1" fillId="10" borderId="7" xfId="0" applyFont="1" applyFill="1" applyBorder="1" applyAlignment="1">
      <alignment wrapText="1"/>
    </xf>
    <xf numFmtId="0" fontId="1" fillId="10" borderId="5" xfId="0" applyFont="1" applyFill="1" applyBorder="1" applyAlignment="1">
      <alignment horizontal="center" vertical="center"/>
    </xf>
    <xf numFmtId="0" fontId="1" fillId="10" borderId="6"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0" borderId="15" xfId="0" applyFont="1" applyBorder="1"/>
    <xf numFmtId="0" fontId="0" fillId="0" borderId="16" xfId="0" applyBorder="1"/>
    <xf numFmtId="0" fontId="0" fillId="0" borderId="17" xfId="0" applyBorder="1"/>
    <xf numFmtId="1" fontId="1" fillId="7" borderId="7" xfId="0" applyNumberFormat="1" applyFont="1" applyFill="1" applyBorder="1"/>
  </cellXfs>
  <cellStyles count="2">
    <cellStyle name="Comma" xfId="1" builtinId="3"/>
    <cellStyle name="Normal" xfId="0" builtinId="0"/>
  </cellStyles>
  <dxfs count="66">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externalLink" Target="externalLinks/externalLink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6"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ubhav.sharma\AppData\Local\Microsoft\Windows\INetCache\Content.Outlook\L6WZNQY1\Stock%20As%20on%2028-08-25.xls" TargetMode="External"/><Relationship Id="rId1" Type="http://schemas.openxmlformats.org/officeDocument/2006/relationships/externalLinkPath" Target="file:///C:\Users\anubhav.sharma\AppData\Local\Microsoft\Windows\INetCache\Content.Outlook\L6WZNQY1\Stock%20As%20on%2028-08-25.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nubhav.sharma\AppData\Local\Microsoft\Windows\INetCache\Content.Outlook\L6WZNQY1\stk%201407.xls" TargetMode="External"/><Relationship Id="rId1" Type="http://schemas.openxmlformats.org/officeDocument/2006/relationships/externalLinkPath" Target="file:///C:\Users\anubhav.sharma\AppData\Local\Microsoft\Windows\INetCache\Content.Outlook\L6WZNQY1\stk%201407.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nubhav.sharma\AppData\Local\Microsoft\Windows\INetCache\Content.Outlook\L6WZNQY1\Stk%20aug'25.xls" TargetMode="External"/><Relationship Id="rId1" Type="http://schemas.openxmlformats.org/officeDocument/2006/relationships/externalLinkPath" Target="file:///C:\Users\anubhav.sharma\AppData\Local\Microsoft\Windows\INetCache\Content.Outlook\L6WZNQY1\Stk%20aug'25.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UserData\anubhav.sharma\Desktop\Paint%20Working.xlsx" TargetMode="External"/><Relationship Id="rId1" Type="http://schemas.openxmlformats.org/officeDocument/2006/relationships/externalLinkPath" Target="/UserData/anubhav.sharma/Desktop/Paint%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A1" t="str">
            <v>HARDTOP WT8 RAL 7035 A (16.7 Ltr)</v>
          </cell>
          <cell r="B1">
            <v>167</v>
          </cell>
        </row>
        <row r="2">
          <cell r="A2" t="str">
            <v>HARDTOP WT8 RAL 7035 B 3.3 Ltr</v>
          </cell>
          <cell r="B2">
            <v>33</v>
          </cell>
        </row>
        <row r="3">
          <cell r="A3" t="str">
            <v>Hardtop XP Comp A RAL 2009 Traffic Orange</v>
          </cell>
          <cell r="B3">
            <v>67.2</v>
          </cell>
        </row>
        <row r="4">
          <cell r="A4" t="str">
            <v>Hardtop XP Comp B RAL 2009 Traffic Orange</v>
          </cell>
          <cell r="B4">
            <v>7.2</v>
          </cell>
        </row>
        <row r="5">
          <cell r="A5" t="str">
            <v>Hardtop XP II RAL 9003 Part A 16.02Ltrs.</v>
          </cell>
          <cell r="B5">
            <v>368.82</v>
          </cell>
        </row>
        <row r="6">
          <cell r="A6" t="str">
            <v>Hardtop XP II RAL 9003 Part B 2.2Ltrs.</v>
          </cell>
          <cell r="B6">
            <v>50.6</v>
          </cell>
        </row>
        <row r="7">
          <cell r="A7" t="str">
            <v>Jotun Thinner No.10</v>
          </cell>
          <cell r="B7">
            <v>200</v>
          </cell>
        </row>
        <row r="8">
          <cell r="A8" t="str">
            <v>Jotun Thinner No.17</v>
          </cell>
          <cell r="B8">
            <v>440</v>
          </cell>
        </row>
        <row r="9">
          <cell r="A9" t="str">
            <v>Paint Barrier 80 Part A</v>
          </cell>
          <cell r="B9">
            <v>9</v>
          </cell>
        </row>
        <row r="10">
          <cell r="A10" t="str">
            <v>Paint Barrier 80 Part B</v>
          </cell>
          <cell r="B10">
            <v>1.25</v>
          </cell>
        </row>
        <row r="11">
          <cell r="A11" t="str">
            <v>Paint Penguard Express RAL 7035 Comp A</v>
          </cell>
          <cell r="B11">
            <v>464</v>
          </cell>
        </row>
        <row r="12">
          <cell r="A12" t="str">
            <v>Paint Penguard Express RAL 7035 Comp. B</v>
          </cell>
          <cell r="B12">
            <v>100</v>
          </cell>
        </row>
        <row r="13">
          <cell r="A13" t="str">
            <v>Penguard Express Gray Part A (16 Ltr)</v>
          </cell>
          <cell r="B13">
            <v>2144</v>
          </cell>
        </row>
        <row r="14">
          <cell r="A14" t="str">
            <v>Penguard Express Grey Part B (4 Ltr)</v>
          </cell>
          <cell r="B14">
            <v>552</v>
          </cell>
        </row>
        <row r="15">
          <cell r="A15" t="str">
            <v>Penguard Express Ral 9018 (Part A)</v>
          </cell>
          <cell r="B15">
            <v>208</v>
          </cell>
        </row>
        <row r="16">
          <cell r="A16" t="str">
            <v>Penguard Express Ral 9018 (Part B)</v>
          </cell>
          <cell r="B16">
            <v>52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tore"/>
      <sheetName val="Sheet2"/>
      <sheetName val="Sheet1"/>
    </sheetNames>
    <sheetDataSet>
      <sheetData sheetId="0"/>
      <sheetData sheetId="1">
        <row r="1">
          <cell r="A1" t="str">
            <v/>
          </cell>
          <cell r="C1" t="str">
            <v>Quantity</v>
          </cell>
          <cell r="D1" t="str">
            <v>Rate</v>
          </cell>
          <cell r="E1" t="str">
            <v>Value</v>
          </cell>
          <cell r="F1" t="str">
            <v>Quantity</v>
          </cell>
        </row>
        <row r="2">
          <cell r="A2" t="str">
            <v>Mineral Oil-3000 HRS Life</v>
          </cell>
          <cell r="C2">
            <v>120</v>
          </cell>
          <cell r="D2">
            <v>418.44</v>
          </cell>
          <cell r="E2">
            <v>50212.800000000003</v>
          </cell>
          <cell r="F2">
            <v>40</v>
          </cell>
        </row>
        <row r="3">
          <cell r="A3" t="str">
            <v>PAINT BLACK</v>
          </cell>
          <cell r="C3">
            <v>4</v>
          </cell>
          <cell r="D3">
            <v>214.87</v>
          </cell>
          <cell r="E3">
            <v>859.48</v>
          </cell>
          <cell r="F3">
            <v>8</v>
          </cell>
        </row>
        <row r="4">
          <cell r="A4" t="str">
            <v>PAINT GREEN (RAL 6019 )</v>
          </cell>
          <cell r="F4">
            <v>16</v>
          </cell>
        </row>
        <row r="5">
          <cell r="A5" t="str">
            <v>Paint P.O. Red (C3POR)</v>
          </cell>
          <cell r="C5">
            <v>4</v>
          </cell>
          <cell r="D5">
            <v>212.68</v>
          </cell>
          <cell r="E5">
            <v>850.72</v>
          </cell>
          <cell r="F5">
            <v>16</v>
          </cell>
        </row>
        <row r="6">
          <cell r="A6" t="str">
            <v>Radiator coolant (C3RCLNT)</v>
          </cell>
          <cell r="F6">
            <v>10</v>
          </cell>
        </row>
        <row r="7">
          <cell r="A7" t="str">
            <v>Tectyle 506EH (C3TL506)</v>
          </cell>
          <cell r="F7">
            <v>3</v>
          </cell>
        </row>
        <row r="8">
          <cell r="A8" t="str">
            <v>Transmition Oil-Cutting Oil (C3CO)</v>
          </cell>
          <cell r="F8">
            <v>0.5</v>
          </cell>
        </row>
        <row r="9">
          <cell r="A9" t="str">
            <v>ACME Paint Hardtop XP, Part A Black Ral-9005</v>
          </cell>
          <cell r="F9">
            <v>21.91</v>
          </cell>
        </row>
        <row r="10">
          <cell r="A10" t="str">
            <v>ACME Paint Hardtop XP, Part A Perky Blue Ral-5015</v>
          </cell>
          <cell r="F10">
            <v>35.130000000000003</v>
          </cell>
        </row>
        <row r="11">
          <cell r="A11" t="str">
            <v>ACME Paint Hardtop XP, Part A Pure Red Ral-3028</v>
          </cell>
          <cell r="F11">
            <v>18.079999999999998</v>
          </cell>
        </row>
        <row r="12">
          <cell r="A12" t="str">
            <v>ACME Paint Hardtop XP, Part B Black Ral-9005</v>
          </cell>
          <cell r="F12">
            <v>2.25</v>
          </cell>
        </row>
        <row r="13">
          <cell r="A13" t="str">
            <v>ACME Paint Hardtop XP, Part B Perky Blue Ral-5015</v>
          </cell>
          <cell r="F13">
            <v>5.45</v>
          </cell>
        </row>
        <row r="14">
          <cell r="A14" t="str">
            <v>ACME Paint Hardtop XP, Part B Pure Red Ral-3028</v>
          </cell>
          <cell r="F14">
            <v>1.8</v>
          </cell>
        </row>
        <row r="15">
          <cell r="A15" t="str">
            <v>DFIPL (AYANA)</v>
          </cell>
          <cell r="E15">
            <v>10478377.220000001</v>
          </cell>
          <cell r="F15">
            <v>6270.63</v>
          </cell>
        </row>
        <row r="16">
          <cell r="A16" t="str">
            <v>Ayana Paint Hardtop XP, Part A Hyacinth Blue Ral-2804045</v>
          </cell>
          <cell r="C16">
            <v>17.54</v>
          </cell>
          <cell r="D16">
            <v>626</v>
          </cell>
          <cell r="E16">
            <v>10980.04</v>
          </cell>
          <cell r="F16">
            <v>52.66</v>
          </cell>
        </row>
        <row r="17">
          <cell r="A17" t="str">
            <v>Ayana Paint Hardtop XP, Part A Oregano Green Ral-1406060</v>
          </cell>
          <cell r="C17">
            <v>18.170000000000002</v>
          </cell>
          <cell r="D17">
            <v>815</v>
          </cell>
          <cell r="E17">
            <v>14808.55</v>
          </cell>
          <cell r="F17">
            <v>36.380000000000003</v>
          </cell>
        </row>
        <row r="18">
          <cell r="A18" t="str">
            <v>HARDTOP WT8 RAL 7035 A (16.7 Ltr)</v>
          </cell>
          <cell r="C18">
            <v>1486.3</v>
          </cell>
          <cell r="D18">
            <v>466.61</v>
          </cell>
          <cell r="E18">
            <v>693529.31</v>
          </cell>
          <cell r="F18">
            <v>517.70000000000005</v>
          </cell>
        </row>
        <row r="19">
          <cell r="A19" t="str">
            <v>HARDTOP WT8 RAL 7035 B 3.3 Ltr</v>
          </cell>
          <cell r="C19">
            <v>293.7</v>
          </cell>
          <cell r="D19">
            <v>467.19</v>
          </cell>
          <cell r="E19">
            <v>137214.34</v>
          </cell>
          <cell r="F19">
            <v>115.56</v>
          </cell>
        </row>
        <row r="20">
          <cell r="A20" t="str">
            <v>Hardtop XP Comp A RAL 2009 Traffic Orange</v>
          </cell>
          <cell r="C20">
            <v>436.03</v>
          </cell>
          <cell r="D20">
            <v>590.38</v>
          </cell>
          <cell r="E20">
            <v>257421.79</v>
          </cell>
          <cell r="F20">
            <v>51.9</v>
          </cell>
        </row>
        <row r="21">
          <cell r="A21" t="str">
            <v>Hardtop XP Comp B RAL 2009 Traffic Orange</v>
          </cell>
          <cell r="C21">
            <v>46.8</v>
          </cell>
          <cell r="D21">
            <v>590.30999999999995</v>
          </cell>
          <cell r="E21">
            <v>27626.34</v>
          </cell>
          <cell r="F21">
            <v>3.6</v>
          </cell>
        </row>
        <row r="22">
          <cell r="A22" t="str">
            <v>Hardtop XP II RAL 9003 Part A 16.02Ltrs.</v>
          </cell>
          <cell r="C22">
            <v>1911.22</v>
          </cell>
          <cell r="D22">
            <v>566.04999999999995</v>
          </cell>
          <cell r="E22">
            <v>1081849.3</v>
          </cell>
          <cell r="F22">
            <v>315.56</v>
          </cell>
        </row>
        <row r="23">
          <cell r="A23" t="str">
            <v>Hardtop XP II RAL 9003 Part B 2.2Ltrs.</v>
          </cell>
          <cell r="C23">
            <v>264</v>
          </cell>
          <cell r="D23">
            <v>565.9</v>
          </cell>
          <cell r="E23">
            <v>149396.85999999999</v>
          </cell>
          <cell r="F23">
            <v>41.8</v>
          </cell>
        </row>
        <row r="24">
          <cell r="A24" t="str">
            <v>Hardtop XP RAL 5013  Part A</v>
          </cell>
          <cell r="F24">
            <v>17.77</v>
          </cell>
        </row>
        <row r="25">
          <cell r="A25" t="str">
            <v>Hardtop XP RAL 5013  Part B</v>
          </cell>
          <cell r="F25">
            <v>1.8</v>
          </cell>
        </row>
        <row r="26">
          <cell r="A26" t="str">
            <v>Hempathane 55610, 7035 Part -A, Pack Size -17.5Ltrs.</v>
          </cell>
          <cell r="C26">
            <v>332.5</v>
          </cell>
          <cell r="D26">
            <v>387.03</v>
          </cell>
          <cell r="E26">
            <v>128688</v>
          </cell>
          <cell r="F26">
            <v>192.5</v>
          </cell>
        </row>
        <row r="27">
          <cell r="A27" t="str">
            <v>Hempathane 55610, 7035 Part -B, Pack Size -2.5Ltrs.</v>
          </cell>
          <cell r="C27">
            <v>12.5</v>
          </cell>
          <cell r="D27">
            <v>393.35</v>
          </cell>
          <cell r="E27">
            <v>4916.88</v>
          </cell>
          <cell r="F27">
            <v>27.5</v>
          </cell>
        </row>
        <row r="28">
          <cell r="A28" t="str">
            <v>Hempathane HS 55610 (RAL 2009), Part -A, Pack Size -17.5Ltrs.</v>
          </cell>
          <cell r="C28">
            <v>17.5</v>
          </cell>
          <cell r="D28">
            <v>595</v>
          </cell>
          <cell r="E28">
            <v>10412.5</v>
          </cell>
          <cell r="F28">
            <v>17.5</v>
          </cell>
        </row>
        <row r="29">
          <cell r="A29" t="str">
            <v>Hempathane HS 55610 (RAL 2009), Part -B, Pack Size -2.5Ltrs.</v>
          </cell>
          <cell r="C29">
            <v>2.5</v>
          </cell>
          <cell r="D29">
            <v>595</v>
          </cell>
          <cell r="E29">
            <v>1487.5</v>
          </cell>
          <cell r="F29">
            <v>2.5</v>
          </cell>
        </row>
        <row r="30">
          <cell r="A30" t="str">
            <v>Jotun Thinner No.10</v>
          </cell>
          <cell r="C30">
            <v>1740</v>
          </cell>
          <cell r="D30">
            <v>145.44999999999999</v>
          </cell>
          <cell r="E30">
            <v>253086.4</v>
          </cell>
          <cell r="F30">
            <v>430</v>
          </cell>
        </row>
        <row r="31">
          <cell r="A31" t="str">
            <v>Jotun Thinner No.17</v>
          </cell>
          <cell r="C31">
            <v>3410.1</v>
          </cell>
          <cell r="D31">
            <v>146.9</v>
          </cell>
          <cell r="E31">
            <v>500943.49</v>
          </cell>
          <cell r="F31">
            <v>229.9</v>
          </cell>
        </row>
        <row r="32">
          <cell r="A32" t="str">
            <v>Paint Penguard Express RAL 7035 Comp A</v>
          </cell>
          <cell r="C32">
            <v>2434.1</v>
          </cell>
          <cell r="D32">
            <v>256.5</v>
          </cell>
          <cell r="E32">
            <v>624346.54</v>
          </cell>
          <cell r="F32">
            <v>269.89999999999998</v>
          </cell>
        </row>
        <row r="33">
          <cell r="A33" t="str">
            <v>Paint Penguard Express RAL 7035 Comp. B</v>
          </cell>
          <cell r="C33">
            <v>573.9</v>
          </cell>
          <cell r="D33">
            <v>256.26</v>
          </cell>
          <cell r="E33">
            <v>147068.78</v>
          </cell>
          <cell r="F33">
            <v>102.1</v>
          </cell>
        </row>
        <row r="34">
          <cell r="A34" t="str">
            <v>Penguard Express Gray Part A (16 Ltr)</v>
          </cell>
          <cell r="C34">
            <v>15376</v>
          </cell>
          <cell r="D34">
            <v>234.45</v>
          </cell>
          <cell r="E34">
            <v>3604944.16</v>
          </cell>
          <cell r="F34">
            <v>2544</v>
          </cell>
        </row>
        <row r="35">
          <cell r="A35" t="str">
            <v>Penguard Express Grey Part B (4 Ltr)</v>
          </cell>
          <cell r="C35">
            <v>3876</v>
          </cell>
          <cell r="D35">
            <v>234.22</v>
          </cell>
          <cell r="E35">
            <v>907846.44</v>
          </cell>
          <cell r="F35">
            <v>596</v>
          </cell>
        </row>
        <row r="36">
          <cell r="A36" t="str">
            <v>Penguard Express Ral 9018 (Part A)</v>
          </cell>
          <cell r="C36">
            <v>1776</v>
          </cell>
          <cell r="D36">
            <v>262.69</v>
          </cell>
          <cell r="E36">
            <v>466534.88</v>
          </cell>
          <cell r="F36">
            <v>432</v>
          </cell>
        </row>
        <row r="37">
          <cell r="A37" t="str">
            <v>Penguard Express Ral 9018 (Part B)</v>
          </cell>
          <cell r="C37">
            <v>432</v>
          </cell>
          <cell r="D37">
            <v>262.66000000000003</v>
          </cell>
          <cell r="E37">
            <v>113467.36</v>
          </cell>
          <cell r="F37">
            <v>132</v>
          </cell>
        </row>
        <row r="38">
          <cell r="A38" t="str">
            <v>Thinner 8080, Pack size :- 20Ltrs.</v>
          </cell>
          <cell r="C38">
            <v>120</v>
          </cell>
          <cell r="D38">
            <v>149.19</v>
          </cell>
          <cell r="E38">
            <v>17902.400000000001</v>
          </cell>
          <cell r="F38">
            <v>60</v>
          </cell>
        </row>
        <row r="39">
          <cell r="A39" t="str">
            <v>Thinner 8450, Pack size :- 20Ltrs.</v>
          </cell>
          <cell r="C39">
            <v>400</v>
          </cell>
          <cell r="D39">
            <v>149.02000000000001</v>
          </cell>
          <cell r="E39">
            <v>59608.4</v>
          </cell>
          <cell r="F39">
            <v>80</v>
          </cell>
        </row>
        <row r="40">
          <cell r="A40" t="str">
            <v>Paint</v>
          </cell>
          <cell r="C40">
            <v>1241.0999999999999</v>
          </cell>
          <cell r="D40">
            <v>512.55999999999995</v>
          </cell>
          <cell r="E40">
            <v>636138.73</v>
          </cell>
          <cell r="F40">
            <v>980.6</v>
          </cell>
        </row>
        <row r="41">
          <cell r="A41" t="str">
            <v>Hardtop WT8 RAL 9018 A 16.7</v>
          </cell>
          <cell r="C41">
            <v>434.2</v>
          </cell>
          <cell r="D41">
            <v>553</v>
          </cell>
          <cell r="E41">
            <v>240112.6</v>
          </cell>
          <cell r="F41">
            <v>233.8</v>
          </cell>
        </row>
        <row r="42">
          <cell r="A42" t="str">
            <v>Hardtop WT8 RAL 9018 B 3.3</v>
          </cell>
          <cell r="C42">
            <v>82.5</v>
          </cell>
          <cell r="D42">
            <v>553</v>
          </cell>
          <cell r="E42">
            <v>45622.5</v>
          </cell>
          <cell r="F42">
            <v>36.299999999999997</v>
          </cell>
        </row>
        <row r="43">
          <cell r="A43" t="str">
            <v>Paint Barrier 80 Part A</v>
          </cell>
          <cell r="C43">
            <v>79.5</v>
          </cell>
          <cell r="D43">
            <v>687.69</v>
          </cell>
          <cell r="E43">
            <v>54671.39</v>
          </cell>
          <cell r="F43">
            <v>205.5</v>
          </cell>
        </row>
        <row r="44">
          <cell r="A44" t="str">
            <v>Paint Barrier 80 Part B</v>
          </cell>
          <cell r="C44">
            <v>14.3</v>
          </cell>
          <cell r="D44">
            <v>649.86</v>
          </cell>
          <cell r="E44">
            <v>9293.0400000000009</v>
          </cell>
          <cell r="F44">
            <v>33.200000000000003</v>
          </cell>
        </row>
        <row r="45">
          <cell r="A45" t="str">
            <v>Paint Penguard Express CF RAL 1013 Part A</v>
          </cell>
          <cell r="C45">
            <v>496</v>
          </cell>
          <cell r="D45">
            <v>443.53</v>
          </cell>
          <cell r="E45">
            <v>219992.95999999999</v>
          </cell>
          <cell r="F45">
            <v>352</v>
          </cell>
        </row>
        <row r="46">
          <cell r="A46" t="str">
            <v>Paint Penguard Express CF RAL 1013 Part B</v>
          </cell>
          <cell r="C46">
            <v>124</v>
          </cell>
          <cell r="D46">
            <v>443.53</v>
          </cell>
          <cell r="E46">
            <v>54998.239999999998</v>
          </cell>
          <cell r="F46">
            <v>88</v>
          </cell>
        </row>
        <row r="47">
          <cell r="A47" t="str">
            <v>Paint Resisit 86 Part A 8</v>
          </cell>
          <cell r="C47">
            <v>8</v>
          </cell>
          <cell r="D47">
            <v>1080</v>
          </cell>
          <cell r="E47">
            <v>8640</v>
          </cell>
          <cell r="F47">
            <v>24</v>
          </cell>
        </row>
        <row r="48">
          <cell r="A48" t="str">
            <v>Paint Resisit 86 Part B 2.6</v>
          </cell>
          <cell r="C48">
            <v>2.6</v>
          </cell>
          <cell r="D48">
            <v>1080</v>
          </cell>
          <cell r="E48">
            <v>2808</v>
          </cell>
          <cell r="F48">
            <v>7.8</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tore"/>
      <sheetName val="Sheet1"/>
    </sheetNames>
    <sheetDataSet>
      <sheetData sheetId="0"/>
      <sheetData sheetId="1">
        <row r="1">
          <cell r="A1" t="str">
            <v/>
          </cell>
          <cell r="B1" t="str">
            <v>Quantity</v>
          </cell>
        </row>
        <row r="2">
          <cell r="A2" t="str">
            <v xml:space="preserve">ACME Paint Hardtop XP, Part A Black Ral-9005_x000D_
</v>
          </cell>
          <cell r="B2">
            <v>21.91</v>
          </cell>
        </row>
        <row r="3">
          <cell r="A3" t="str">
            <v xml:space="preserve">ACME Paint Hardtop XP, Part A Perky Blue Ral-5015_x000D_
</v>
          </cell>
          <cell r="B3">
            <v>35.130000000000003</v>
          </cell>
        </row>
        <row r="4">
          <cell r="A4" t="str">
            <v xml:space="preserve">ACME Paint Hardtop XP, Part A Pure Red Ral-3028_x000D_
</v>
          </cell>
          <cell r="B4">
            <v>18.079999999999998</v>
          </cell>
        </row>
        <row r="5">
          <cell r="A5" t="str">
            <v xml:space="preserve">ACME Paint Hardtop XP, Part B Black Ral-9005_x000D_
</v>
          </cell>
          <cell r="B5">
            <v>2.25</v>
          </cell>
        </row>
        <row r="6">
          <cell r="A6" t="str">
            <v xml:space="preserve">ACME Paint Hardtop XP, Part B Perky Blue Ral-5015_x000D_
</v>
          </cell>
          <cell r="B6">
            <v>5.45</v>
          </cell>
        </row>
        <row r="7">
          <cell r="A7" t="str">
            <v xml:space="preserve">ACME Paint Hardtop XP, Part B Pure Red Ral-3028_x000D_
</v>
          </cell>
          <cell r="B7">
            <v>1.8</v>
          </cell>
        </row>
        <row r="8">
          <cell r="A8" t="str">
            <v>Ayana Paint Hardtop XP, Part A Hyacinth Blue Ral-2804045</v>
          </cell>
          <cell r="B8">
            <v>52.66</v>
          </cell>
        </row>
        <row r="9">
          <cell r="A9" t="str">
            <v>Ayana Paint Hardtop XP, Part A Oregano Green Ral-1406060</v>
          </cell>
          <cell r="B9">
            <v>36.380000000000003</v>
          </cell>
        </row>
        <row r="10">
          <cell r="A10" t="str">
            <v>HARDTOP WT8 RAL 7035 A (16.7 Ltr)</v>
          </cell>
          <cell r="B10">
            <v>1202.4000000000001</v>
          </cell>
        </row>
        <row r="11">
          <cell r="A11" t="str">
            <v>HARDTOP WT8 RAL 7035 B 3.3 Ltr</v>
          </cell>
          <cell r="B11">
            <v>250.86</v>
          </cell>
        </row>
        <row r="12">
          <cell r="A12" t="str">
            <v>Hardtop XP Comp A RAL 2009 Traffic Orange</v>
          </cell>
          <cell r="B12">
            <v>236.7</v>
          </cell>
        </row>
        <row r="13">
          <cell r="A13" t="str">
            <v>Hardtop XP Comp B RAL 2009 Traffic Orange</v>
          </cell>
          <cell r="B13">
            <v>23.4</v>
          </cell>
        </row>
        <row r="14">
          <cell r="A14" t="str">
            <v>Hardtop XP II RAL 9003 Part A 16.02Ltrs.</v>
          </cell>
          <cell r="B14">
            <v>1118.72</v>
          </cell>
        </row>
        <row r="15">
          <cell r="A15" t="str">
            <v>Hardtop XP II RAL 9003 Part B 2.2Ltrs.</v>
          </cell>
          <cell r="B15">
            <v>151.80000000000001</v>
          </cell>
        </row>
        <row r="16">
          <cell r="A16" t="str">
            <v>Hardtop XP RAL 5013  Part A</v>
          </cell>
          <cell r="B16">
            <v>17.77</v>
          </cell>
        </row>
        <row r="17">
          <cell r="A17" t="str">
            <v>Hardtop XP RAL 5013  Part B</v>
          </cell>
          <cell r="B17">
            <v>1.8</v>
          </cell>
        </row>
        <row r="18">
          <cell r="A18" t="str">
            <v>Hempathane 55610, 7035 Part -A, Pack Size -17.5Ltrs.</v>
          </cell>
          <cell r="B18">
            <v>192.5</v>
          </cell>
        </row>
        <row r="19">
          <cell r="A19" t="str">
            <v>Hempathane 55610, 7035 Part -B, Pack Size -2.5Ltrs.</v>
          </cell>
          <cell r="B19">
            <v>27.5</v>
          </cell>
        </row>
        <row r="20">
          <cell r="A20" t="str">
            <v>Hempathane HS 55610 (RAL 2009), Part -A, Pack Size -17.5Ltrs.</v>
          </cell>
          <cell r="B20">
            <v>17.5</v>
          </cell>
        </row>
        <row r="21">
          <cell r="A21" t="str">
            <v>Hempathane HS 55610 (RAL 2009), Part -B, Pack Size -2.5Ltrs.</v>
          </cell>
          <cell r="B21">
            <v>2.5</v>
          </cell>
        </row>
        <row r="22">
          <cell r="A22" t="str">
            <v>Jotun Thinner No.10</v>
          </cell>
          <cell r="B22">
            <v>1110</v>
          </cell>
        </row>
        <row r="23">
          <cell r="A23" t="str">
            <v>Jotun Thinner No.17</v>
          </cell>
          <cell r="B23">
            <v>1569.9</v>
          </cell>
        </row>
        <row r="24">
          <cell r="A24" t="str">
            <v>Paint Penguard Express RAL 7035 Comp A</v>
          </cell>
          <cell r="B24">
            <v>1261.9000000000001</v>
          </cell>
        </row>
        <row r="25">
          <cell r="A25" t="str">
            <v>Paint Penguard Express RAL 7035 Comp. B</v>
          </cell>
          <cell r="B25">
            <v>334.1</v>
          </cell>
        </row>
        <row r="26">
          <cell r="A26" t="str">
            <v>Penguard Express Gray Part A (16 Ltr)</v>
          </cell>
          <cell r="B26">
            <v>8800</v>
          </cell>
        </row>
        <row r="27">
          <cell r="A27" t="str">
            <v>Penguard Express Grey Part B (4 Ltr)</v>
          </cell>
          <cell r="B27">
            <v>2176</v>
          </cell>
        </row>
        <row r="28">
          <cell r="A28" t="str">
            <v>Penguard Express Ral 9018 (Part A)</v>
          </cell>
          <cell r="B28">
            <v>1200</v>
          </cell>
        </row>
        <row r="29">
          <cell r="A29" t="str">
            <v>Penguard Express Ral 9018 (Part B)</v>
          </cell>
          <cell r="B29">
            <v>312</v>
          </cell>
        </row>
        <row r="30">
          <cell r="A30" t="str">
            <v>Thinner 8080, Pack size :- 20Ltrs.</v>
          </cell>
          <cell r="B30">
            <v>60</v>
          </cell>
        </row>
        <row r="31">
          <cell r="A31" t="str">
            <v>Thinner 8450, Pack size :- 20Ltrs.</v>
          </cell>
          <cell r="B31">
            <v>80</v>
          </cell>
        </row>
        <row r="32">
          <cell r="A32" t="str">
            <v>Hardtop WT8 RAL 9018 A 16.7</v>
          </cell>
          <cell r="B32">
            <v>317.3</v>
          </cell>
        </row>
        <row r="33">
          <cell r="A33" t="str">
            <v>Hardtop WT8 RAL 9018 B 3.3</v>
          </cell>
          <cell r="B33">
            <v>52.8</v>
          </cell>
        </row>
        <row r="34">
          <cell r="A34" t="str">
            <v>Paint Barrier 80 Part A</v>
          </cell>
          <cell r="B34">
            <v>237</v>
          </cell>
        </row>
        <row r="35">
          <cell r="A35" t="str">
            <v>Paint Barrier 80 Part B</v>
          </cell>
          <cell r="B35">
            <v>38.200000000000003</v>
          </cell>
        </row>
        <row r="36">
          <cell r="A36" t="str">
            <v>Paint Penguard Express CF RAL 1013 Part A</v>
          </cell>
          <cell r="B36">
            <v>464</v>
          </cell>
        </row>
        <row r="37">
          <cell r="A37" t="str">
            <v>Paint Penguard Express CF RAL 1013 Part B</v>
          </cell>
          <cell r="B37">
            <v>116</v>
          </cell>
        </row>
        <row r="38">
          <cell r="A38" t="str">
            <v>Paint Resisit 86 Part A 8</v>
          </cell>
          <cell r="B38">
            <v>24</v>
          </cell>
        </row>
        <row r="39">
          <cell r="A39" t="str">
            <v>Paint Resisit 86 Part B 2.6</v>
          </cell>
          <cell r="B39">
            <v>7.8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tore"/>
      <sheetName val="Sheet1"/>
    </sheetNames>
    <sheetDataSet>
      <sheetData sheetId="0"/>
      <sheetData sheetId="1">
        <row r="1">
          <cell r="B1">
            <v>45897</v>
          </cell>
        </row>
        <row r="2">
          <cell r="A2" t="str">
            <v/>
          </cell>
          <cell r="B2" t="str">
            <v>Quantity</v>
          </cell>
        </row>
        <row r="3">
          <cell r="A3" t="str">
            <v>Mineral Oil-3000 HRS Life</v>
          </cell>
          <cell r="B3">
            <v>40</v>
          </cell>
        </row>
        <row r="4">
          <cell r="A4" t="str">
            <v>PAINT BLACK</v>
          </cell>
          <cell r="B4">
            <v>8</v>
          </cell>
        </row>
        <row r="5">
          <cell r="A5" t="str">
            <v>PAINT GREEN (RAL 6019 )</v>
          </cell>
          <cell r="B5">
            <v>16</v>
          </cell>
        </row>
        <row r="6">
          <cell r="A6" t="str">
            <v>Paint P.O. Red</v>
          </cell>
          <cell r="B6">
            <v>16</v>
          </cell>
        </row>
        <row r="7">
          <cell r="A7" t="str">
            <v>Radiator coolant</v>
          </cell>
          <cell r="B7">
            <v>10</v>
          </cell>
        </row>
        <row r="8">
          <cell r="A8" t="str">
            <v>Tectyle 506EH</v>
          </cell>
          <cell r="B8">
            <v>3</v>
          </cell>
        </row>
        <row r="9">
          <cell r="A9" t="str">
            <v>Transmition Oil-Cutting Oil</v>
          </cell>
          <cell r="B9">
            <v>0.5</v>
          </cell>
        </row>
        <row r="10">
          <cell r="A10" t="str">
            <v xml:space="preserve">ACME Paint Hardtop XP, Part A Black Ral-9005_x000D_
</v>
          </cell>
          <cell r="B10">
            <v>21.91</v>
          </cell>
        </row>
        <row r="11">
          <cell r="A11" t="str">
            <v xml:space="preserve">ACME Paint Hardtop XP, Part A Perky Blue Ral-5015_x000D_
</v>
          </cell>
          <cell r="B11">
            <v>35.130000000000003</v>
          </cell>
        </row>
        <row r="12">
          <cell r="A12" t="str">
            <v xml:space="preserve">ACME Paint Hardtop XP, Part A Pure Red Ral-3028_x000D_
</v>
          </cell>
          <cell r="B12">
            <v>18.079999999999998</v>
          </cell>
        </row>
        <row r="13">
          <cell r="A13" t="str">
            <v xml:space="preserve">ACME Paint Hardtop XP, Part B Black Ral-9005_x000D_
</v>
          </cell>
          <cell r="B13">
            <v>2.25</v>
          </cell>
        </row>
        <row r="14">
          <cell r="A14" t="str">
            <v xml:space="preserve">ACME Paint Hardtop XP, Part B Perky Blue Ral-5015_x000D_
</v>
          </cell>
          <cell r="B14">
            <v>5.45</v>
          </cell>
        </row>
        <row r="15">
          <cell r="A15" t="str">
            <v xml:space="preserve">ACME Paint Hardtop XP, Part B Pure Red Ral-3028_x000D_
</v>
          </cell>
          <cell r="B15">
            <v>1.8</v>
          </cell>
        </row>
        <row r="16">
          <cell r="A16" t="str">
            <v>DFIPL (AYANA)</v>
          </cell>
          <cell r="B16">
            <v>5512.03</v>
          </cell>
        </row>
        <row r="17">
          <cell r="A17" t="str">
            <v>Ayana Paint Hardtop XP, Part A Hyacinth Blue Ral-2804045</v>
          </cell>
          <cell r="B17">
            <v>52.66</v>
          </cell>
        </row>
        <row r="18">
          <cell r="A18" t="str">
            <v>Ayana Paint Hardtop XP, Part A Oregano Green Ral-1406060</v>
          </cell>
          <cell r="B18">
            <v>36.380000000000003</v>
          </cell>
        </row>
        <row r="19">
          <cell r="A19" t="str">
            <v>HARDTOP WT8 RAL 7035 A (16.7 Ltr)</v>
          </cell>
          <cell r="B19">
            <v>434.2</v>
          </cell>
        </row>
        <row r="20">
          <cell r="A20" t="str">
            <v>HARDTOP WT8 RAL 7035 B 3.3 Ltr</v>
          </cell>
          <cell r="B20">
            <v>99.06</v>
          </cell>
        </row>
        <row r="21">
          <cell r="A21" t="str">
            <v>Hardtop XP Comp A RAL 2009 Traffic Orange</v>
          </cell>
          <cell r="B21">
            <v>35.1</v>
          </cell>
        </row>
        <row r="22">
          <cell r="A22" t="str">
            <v>Hardtop XP Comp B RAL 2009 Traffic Orange</v>
          </cell>
          <cell r="B22">
            <v>1.8</v>
          </cell>
        </row>
        <row r="23">
          <cell r="A23" t="str">
            <v>Hardtop XP II RAL 9003 Part A 16.02Ltrs.</v>
          </cell>
          <cell r="B23">
            <v>315.56</v>
          </cell>
        </row>
        <row r="24">
          <cell r="A24" t="str">
            <v>Hardtop XP II RAL 9003 Part B 2.2Ltrs.</v>
          </cell>
          <cell r="B24">
            <v>41.8</v>
          </cell>
        </row>
        <row r="25">
          <cell r="A25" t="str">
            <v>Hardtop XP RAL 5013  Part A</v>
          </cell>
          <cell r="B25">
            <v>17.77</v>
          </cell>
        </row>
        <row r="26">
          <cell r="A26" t="str">
            <v>Hardtop XP RAL 5013  Part B</v>
          </cell>
          <cell r="B26">
            <v>1.8</v>
          </cell>
        </row>
        <row r="27">
          <cell r="A27" t="str">
            <v>Hempathane 55610, 7035 Part -A, Pack Size -17.5Ltrs.</v>
          </cell>
          <cell r="B27">
            <v>192.5</v>
          </cell>
        </row>
        <row r="28">
          <cell r="A28" t="str">
            <v>Hempathane 55610, 7035 Part -B, Pack Size -2.5Ltrs.</v>
          </cell>
          <cell r="B28">
            <v>27.5</v>
          </cell>
        </row>
        <row r="29">
          <cell r="A29" t="str">
            <v>Hempathane HS 55610 (RAL 2009), Part -A, Pack Size -17.5Ltrs.</v>
          </cell>
          <cell r="B29">
            <v>17.5</v>
          </cell>
        </row>
        <row r="30">
          <cell r="A30" t="str">
            <v>Hempathane HS 55610 (RAL 2009), Part -B, Pack Size -2.5Ltrs.</v>
          </cell>
          <cell r="B30">
            <v>2.5</v>
          </cell>
        </row>
        <row r="31">
          <cell r="A31" t="str">
            <v>Jotun Thinner No.10</v>
          </cell>
          <cell r="B31">
            <v>390</v>
          </cell>
        </row>
        <row r="32">
          <cell r="A32" t="str">
            <v>Jotun Thinner No.17</v>
          </cell>
          <cell r="B32">
            <v>169.9</v>
          </cell>
        </row>
        <row r="33">
          <cell r="A33" t="str">
            <v>Paint Penguard Express RAL 7035 Comp A</v>
          </cell>
          <cell r="B33">
            <v>269.89999999999998</v>
          </cell>
        </row>
        <row r="34">
          <cell r="A34" t="str">
            <v>Paint Penguard Express RAL 7035 Comp. B</v>
          </cell>
          <cell r="B34">
            <v>102.1</v>
          </cell>
        </row>
        <row r="35">
          <cell r="A35" t="str">
            <v>Penguard Express Gray Part A (16 Ltr)</v>
          </cell>
          <cell r="B35">
            <v>2208</v>
          </cell>
        </row>
        <row r="36">
          <cell r="A36" t="str">
            <v>Penguard Express Grey Part B (4 Ltr)</v>
          </cell>
          <cell r="B36">
            <v>512</v>
          </cell>
        </row>
        <row r="37">
          <cell r="A37" t="str">
            <v>Penguard Express Ral 9018 (Part A)</v>
          </cell>
          <cell r="B37">
            <v>336</v>
          </cell>
        </row>
        <row r="38">
          <cell r="A38" t="str">
            <v>Penguard Express Ral 9018 (Part B)</v>
          </cell>
          <cell r="B38">
            <v>108</v>
          </cell>
        </row>
        <row r="39">
          <cell r="A39" t="str">
            <v>Thinner 8080, Pack size :- 20Ltrs.</v>
          </cell>
          <cell r="B39">
            <v>60</v>
          </cell>
        </row>
        <row r="40">
          <cell r="A40" t="str">
            <v>Thinner 8450, Pack size :- 20Ltrs.</v>
          </cell>
          <cell r="B40">
            <v>80</v>
          </cell>
        </row>
        <row r="41">
          <cell r="A41" t="str">
            <v>Paint</v>
          </cell>
          <cell r="B41">
            <v>980.6</v>
          </cell>
        </row>
        <row r="42">
          <cell r="A42" t="str">
            <v>Hardtop WT8 RAL 9018 A 16.7</v>
          </cell>
          <cell r="B42">
            <v>233.8</v>
          </cell>
        </row>
        <row r="43">
          <cell r="A43" t="str">
            <v>Hardtop WT8 RAL 9018 B 3.3</v>
          </cell>
          <cell r="B43">
            <v>36.299999999999997</v>
          </cell>
        </row>
        <row r="44">
          <cell r="A44" t="str">
            <v>Paint Barrier 80 Part A</v>
          </cell>
          <cell r="B44">
            <v>205.5</v>
          </cell>
        </row>
        <row r="45">
          <cell r="A45" t="str">
            <v>Paint Barrier 80 Part B</v>
          </cell>
          <cell r="B45">
            <v>33.200000000000003</v>
          </cell>
        </row>
        <row r="46">
          <cell r="A46" t="str">
            <v>Paint Penguard Express CF RAL 1013 Part A</v>
          </cell>
          <cell r="B46">
            <v>352</v>
          </cell>
        </row>
        <row r="47">
          <cell r="A47" t="str">
            <v>Paint Penguard Express CF RAL 1013 Part B</v>
          </cell>
          <cell r="B47">
            <v>88</v>
          </cell>
        </row>
        <row r="48">
          <cell r="A48" t="str">
            <v>Paint Resisit 86 Part A 8</v>
          </cell>
          <cell r="B48">
            <v>24</v>
          </cell>
        </row>
        <row r="49">
          <cell r="A49" t="str">
            <v>Paint Resisit 86 Part B 2.6</v>
          </cell>
          <cell r="B49">
            <v>7.8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ummary"/>
      <sheetName val="Sheet3"/>
      <sheetName val="Sheet6"/>
      <sheetName val="Sheet4"/>
      <sheetName val="Working"/>
      <sheetName val="Customer Stock"/>
      <sheetName val="Extra paint working"/>
      <sheetName val="Welspun Summary"/>
      <sheetName val="Welspun Working"/>
      <sheetName val="ACME Working"/>
      <sheetName val="ACME summary"/>
      <sheetName val="All Stock "/>
      <sheetName val="Sheet5"/>
    </sheetNames>
    <sheetDataSet>
      <sheetData sheetId="0"/>
      <sheetData sheetId="1">
        <row r="2">
          <cell r="A2" t="str">
            <v>Row Labels</v>
          </cell>
        </row>
      </sheetData>
      <sheetData sheetId="2"/>
      <sheetData sheetId="3"/>
      <sheetData sheetId="4"/>
      <sheetData sheetId="5">
        <row r="1">
          <cell r="N1"/>
          <cell r="O1">
            <v>20</v>
          </cell>
          <cell r="P1"/>
        </row>
        <row r="2">
          <cell r="F2" t="str">
            <v>Batch No.</v>
          </cell>
          <cell r="G2" t="str">
            <v>remarks</v>
          </cell>
          <cell r="H2" t="str">
            <v>Mfg Date</v>
          </cell>
          <cell r="I2" t="str">
            <v>Expiry date</v>
          </cell>
          <cell r="J2" t="str">
            <v>Today Date</v>
          </cell>
          <cell r="K2" t="str">
            <v>Remaining Day left for expiry</v>
          </cell>
          <cell r="L2" t="str">
            <v>Status</v>
          </cell>
          <cell r="M2" t="str">
            <v>Tin Qty</v>
          </cell>
          <cell r="N2" t="str">
            <v>Tins</v>
          </cell>
          <cell r="O2" t="str">
            <v>Total Qty</v>
          </cell>
          <cell r="P2" t="str">
            <v>Customer</v>
          </cell>
          <cell r="Q2" t="str">
            <v>Remark 1</v>
          </cell>
        </row>
        <row r="3">
          <cell r="F3">
            <v>3945414</v>
          </cell>
          <cell r="G3" t="str">
            <v>Done</v>
          </cell>
          <cell r="H3">
            <v>45817</v>
          </cell>
          <cell r="I3">
            <v>47277</v>
          </cell>
          <cell r="J3">
            <v>45870</v>
          </cell>
          <cell r="K3">
            <v>1407</v>
          </cell>
          <cell r="L3" t="str">
            <v>Not Expired</v>
          </cell>
          <cell r="M3">
            <v>16.7</v>
          </cell>
          <cell r="N3">
            <v>32</v>
          </cell>
          <cell r="O3">
            <v>534.4</v>
          </cell>
          <cell r="P3" t="str">
            <v>Welspun</v>
          </cell>
          <cell r="Q3" t="str">
            <v>DFIPL Purchase</v>
          </cell>
        </row>
        <row r="4">
          <cell r="F4">
            <v>3910488</v>
          </cell>
          <cell r="G4" t="str">
            <v>Done</v>
          </cell>
          <cell r="H4">
            <v>45784</v>
          </cell>
          <cell r="I4">
            <v>47244</v>
          </cell>
          <cell r="J4">
            <v>45870</v>
          </cell>
          <cell r="K4">
            <v>1374</v>
          </cell>
          <cell r="L4" t="str">
            <v>Not Expired</v>
          </cell>
          <cell r="M4">
            <v>3.3</v>
          </cell>
          <cell r="N4">
            <v>32</v>
          </cell>
          <cell r="O4">
            <v>105.6</v>
          </cell>
          <cell r="P4" t="str">
            <v>Welspun</v>
          </cell>
          <cell r="Q4" t="str">
            <v>DFIPL Purchase</v>
          </cell>
        </row>
        <row r="5">
          <cell r="F5">
            <v>3923488</v>
          </cell>
          <cell r="G5" t="str">
            <v>Done</v>
          </cell>
          <cell r="H5">
            <v>45796</v>
          </cell>
          <cell r="I5">
            <v>46526</v>
          </cell>
          <cell r="J5">
            <v>45870</v>
          </cell>
          <cell r="K5">
            <v>656</v>
          </cell>
          <cell r="L5" t="str">
            <v>Not Expired</v>
          </cell>
          <cell r="M5">
            <v>4</v>
          </cell>
          <cell r="N5">
            <v>236</v>
          </cell>
          <cell r="O5">
            <v>944</v>
          </cell>
          <cell r="P5" t="str">
            <v>Welspun</v>
          </cell>
          <cell r="Q5" t="str">
            <v>DFIPL Purchase</v>
          </cell>
        </row>
        <row r="6">
          <cell r="F6">
            <v>3923489</v>
          </cell>
          <cell r="G6" t="str">
            <v>Done</v>
          </cell>
          <cell r="H6">
            <v>45796</v>
          </cell>
          <cell r="I6">
            <v>46526</v>
          </cell>
          <cell r="J6">
            <v>45870</v>
          </cell>
          <cell r="K6">
            <v>656</v>
          </cell>
          <cell r="L6" t="str">
            <v>Not Expired</v>
          </cell>
          <cell r="M6">
            <v>4</v>
          </cell>
          <cell r="N6">
            <v>2</v>
          </cell>
          <cell r="O6">
            <v>8</v>
          </cell>
          <cell r="P6" t="str">
            <v>Welspun</v>
          </cell>
          <cell r="Q6" t="str">
            <v>DFIPL Purchase</v>
          </cell>
        </row>
        <row r="7">
          <cell r="F7">
            <v>3943290</v>
          </cell>
          <cell r="G7" t="str">
            <v>Done</v>
          </cell>
          <cell r="H7">
            <v>45813</v>
          </cell>
          <cell r="I7">
            <v>47273</v>
          </cell>
          <cell r="J7">
            <v>45870</v>
          </cell>
          <cell r="K7">
            <v>1403</v>
          </cell>
          <cell r="L7" t="str">
            <v>Not Expired</v>
          </cell>
          <cell r="M7">
            <v>20</v>
          </cell>
          <cell r="N7">
            <v>39</v>
          </cell>
          <cell r="O7">
            <v>780</v>
          </cell>
          <cell r="P7" t="str">
            <v>Welspun</v>
          </cell>
          <cell r="Q7" t="str">
            <v>DFIPL Purchase</v>
          </cell>
        </row>
        <row r="8">
          <cell r="F8">
            <v>3923488</v>
          </cell>
          <cell r="G8" t="str">
            <v>Done</v>
          </cell>
          <cell r="H8">
            <v>45796</v>
          </cell>
          <cell r="I8">
            <v>46526</v>
          </cell>
          <cell r="J8">
            <v>45870</v>
          </cell>
          <cell r="K8">
            <v>656</v>
          </cell>
          <cell r="L8" t="str">
            <v>Not Expired</v>
          </cell>
          <cell r="M8">
            <v>4</v>
          </cell>
          <cell r="N8">
            <v>14</v>
          </cell>
          <cell r="O8">
            <v>56</v>
          </cell>
          <cell r="P8" t="str">
            <v>Welspun</v>
          </cell>
          <cell r="Q8" t="str">
            <v>DFIPL Purchase</v>
          </cell>
        </row>
        <row r="9">
          <cell r="F9">
            <v>3924941</v>
          </cell>
          <cell r="G9" t="str">
            <v>Done</v>
          </cell>
          <cell r="H9">
            <v>45796</v>
          </cell>
          <cell r="I9">
            <v>46526</v>
          </cell>
          <cell r="J9">
            <v>45870</v>
          </cell>
          <cell r="K9">
            <v>656</v>
          </cell>
          <cell r="L9" t="str">
            <v>Not Expired</v>
          </cell>
          <cell r="M9">
            <v>16</v>
          </cell>
          <cell r="N9">
            <v>67</v>
          </cell>
          <cell r="O9">
            <v>1072</v>
          </cell>
          <cell r="P9" t="str">
            <v>Welspun</v>
          </cell>
          <cell r="Q9" t="str">
            <v>DFIPL Purchase</v>
          </cell>
        </row>
        <row r="10">
          <cell r="F10">
            <v>3923183</v>
          </cell>
          <cell r="G10" t="str">
            <v>Done</v>
          </cell>
          <cell r="H10">
            <v>45794</v>
          </cell>
          <cell r="I10">
            <v>46524</v>
          </cell>
          <cell r="J10">
            <v>45870</v>
          </cell>
          <cell r="K10">
            <v>654</v>
          </cell>
          <cell r="L10" t="str">
            <v>Not Expired</v>
          </cell>
          <cell r="M10">
            <v>16</v>
          </cell>
          <cell r="N10">
            <v>2</v>
          </cell>
          <cell r="O10">
            <v>32</v>
          </cell>
          <cell r="P10" t="str">
            <v>Welspun</v>
          </cell>
          <cell r="Q10" t="str">
            <v>DFIPL Purchase</v>
          </cell>
        </row>
        <row r="11">
          <cell r="F11">
            <v>3923158</v>
          </cell>
          <cell r="G11" t="str">
            <v>Done</v>
          </cell>
          <cell r="H11">
            <v>45794</v>
          </cell>
          <cell r="I11">
            <v>47254</v>
          </cell>
          <cell r="J11">
            <v>45870</v>
          </cell>
          <cell r="K11">
            <v>1384</v>
          </cell>
          <cell r="L11" t="str">
            <v>Not Expired</v>
          </cell>
          <cell r="M11">
            <v>16.7</v>
          </cell>
          <cell r="N11">
            <v>31</v>
          </cell>
          <cell r="O11">
            <v>517.69999999999993</v>
          </cell>
          <cell r="P11" t="str">
            <v>Welspun</v>
          </cell>
          <cell r="Q11" t="str">
            <v>DFIPL Purchase</v>
          </cell>
        </row>
        <row r="12">
          <cell r="F12">
            <v>3910488</v>
          </cell>
          <cell r="G12" t="str">
            <v>Done</v>
          </cell>
          <cell r="H12">
            <v>45784</v>
          </cell>
          <cell r="I12">
            <v>47244</v>
          </cell>
          <cell r="J12">
            <v>45870</v>
          </cell>
          <cell r="K12">
            <v>1374</v>
          </cell>
          <cell r="L12" t="str">
            <v>Not Expired</v>
          </cell>
          <cell r="M12">
            <v>3.3</v>
          </cell>
          <cell r="N12">
            <v>31</v>
          </cell>
          <cell r="O12">
            <v>102.3</v>
          </cell>
          <cell r="P12" t="str">
            <v>Welspun</v>
          </cell>
          <cell r="Q12" t="str">
            <v>DFIPL Purchase</v>
          </cell>
        </row>
        <row r="13">
          <cell r="F13">
            <v>3828209</v>
          </cell>
          <cell r="G13" t="str">
            <v>Done</v>
          </cell>
          <cell r="H13">
            <v>45703</v>
          </cell>
          <cell r="I13">
            <v>46433</v>
          </cell>
          <cell r="J13">
            <v>45870</v>
          </cell>
          <cell r="K13">
            <v>563</v>
          </cell>
          <cell r="L13" t="str">
            <v>Not Expired</v>
          </cell>
          <cell r="M13">
            <v>16</v>
          </cell>
          <cell r="N13">
            <v>1</v>
          </cell>
          <cell r="O13">
            <v>16</v>
          </cell>
          <cell r="P13" t="str">
            <v>Welspun</v>
          </cell>
          <cell r="Q13" t="str">
            <v>DFIPL Purchase</v>
          </cell>
        </row>
        <row r="14">
          <cell r="F14">
            <v>3926473</v>
          </cell>
          <cell r="G14" t="str">
            <v>Done</v>
          </cell>
          <cell r="H14">
            <v>45798</v>
          </cell>
          <cell r="I14">
            <v>46528</v>
          </cell>
          <cell r="J14">
            <v>45870</v>
          </cell>
          <cell r="K14">
            <v>658</v>
          </cell>
          <cell r="L14" t="str">
            <v>Not Expired</v>
          </cell>
          <cell r="M14">
            <v>16</v>
          </cell>
          <cell r="N14">
            <v>163</v>
          </cell>
          <cell r="O14">
            <v>2608</v>
          </cell>
          <cell r="P14" t="str">
            <v>Welspun</v>
          </cell>
          <cell r="Q14" t="str">
            <v>DFIPL Purchase</v>
          </cell>
        </row>
        <row r="15">
          <cell r="F15">
            <v>3940620</v>
          </cell>
          <cell r="G15" t="str">
            <v>Done</v>
          </cell>
          <cell r="H15">
            <v>45811</v>
          </cell>
          <cell r="I15">
            <v>47271</v>
          </cell>
          <cell r="J15">
            <v>45870</v>
          </cell>
          <cell r="K15">
            <v>1401</v>
          </cell>
          <cell r="L15" t="str">
            <v>Not Expired</v>
          </cell>
          <cell r="M15">
            <v>20</v>
          </cell>
          <cell r="N15">
            <v>16</v>
          </cell>
          <cell r="O15">
            <v>320</v>
          </cell>
          <cell r="P15" t="str">
            <v>Welspun</v>
          </cell>
          <cell r="Q15" t="str">
            <v>DFIPL Purchase</v>
          </cell>
        </row>
        <row r="16">
          <cell r="F16">
            <v>3835295</v>
          </cell>
          <cell r="G16" t="str">
            <v>Done</v>
          </cell>
          <cell r="H16">
            <v>45712</v>
          </cell>
          <cell r="I16">
            <v>47172</v>
          </cell>
          <cell r="J16">
            <v>45870</v>
          </cell>
          <cell r="K16">
            <v>1302</v>
          </cell>
          <cell r="L16" t="str">
            <v>Not Expired</v>
          </cell>
          <cell r="M16">
            <v>20</v>
          </cell>
          <cell r="N16">
            <v>3</v>
          </cell>
          <cell r="O16">
            <v>60</v>
          </cell>
          <cell r="P16" t="str">
            <v>Welspun</v>
          </cell>
          <cell r="Q16" t="str">
            <v>DFIPL Purchase</v>
          </cell>
        </row>
        <row r="17">
          <cell r="F17">
            <v>3923488</v>
          </cell>
          <cell r="G17" t="str">
            <v>Done</v>
          </cell>
          <cell r="H17">
            <v>45796</v>
          </cell>
          <cell r="I17">
            <v>46526</v>
          </cell>
          <cell r="J17">
            <v>45870</v>
          </cell>
          <cell r="K17">
            <v>656</v>
          </cell>
          <cell r="L17" t="str">
            <v>Not Expired</v>
          </cell>
          <cell r="M17">
            <v>4</v>
          </cell>
          <cell r="N17">
            <v>42</v>
          </cell>
          <cell r="O17">
            <v>168</v>
          </cell>
          <cell r="P17" t="str">
            <v>Welspun</v>
          </cell>
          <cell r="Q17" t="str">
            <v>DFIPL Purchase</v>
          </cell>
        </row>
        <row r="18">
          <cell r="F18">
            <v>3926473</v>
          </cell>
          <cell r="G18" t="str">
            <v>Done</v>
          </cell>
          <cell r="H18">
            <v>45798</v>
          </cell>
          <cell r="I18">
            <v>46528</v>
          </cell>
          <cell r="J18">
            <v>45870</v>
          </cell>
          <cell r="K18">
            <v>658</v>
          </cell>
          <cell r="L18" t="str">
            <v>Not Expired</v>
          </cell>
          <cell r="M18">
            <v>16</v>
          </cell>
          <cell r="N18">
            <v>60</v>
          </cell>
          <cell r="O18">
            <v>960</v>
          </cell>
          <cell r="P18" t="str">
            <v>Welspun</v>
          </cell>
          <cell r="Q18" t="str">
            <v>DFIPL Purchase</v>
          </cell>
        </row>
        <row r="19">
          <cell r="F19">
            <v>3827803</v>
          </cell>
          <cell r="G19" t="str">
            <v>Done</v>
          </cell>
          <cell r="H19">
            <v>45703</v>
          </cell>
          <cell r="I19">
            <v>46433</v>
          </cell>
          <cell r="J19">
            <v>45870</v>
          </cell>
          <cell r="K19">
            <v>563</v>
          </cell>
          <cell r="L19" t="str">
            <v>Not Expired</v>
          </cell>
          <cell r="M19">
            <v>16</v>
          </cell>
          <cell r="N19">
            <v>0</v>
          </cell>
          <cell r="O19">
            <v>0</v>
          </cell>
          <cell r="P19" t="str">
            <v>ACME</v>
          </cell>
          <cell r="Q19" t="str">
            <v>DFIPL Purchase</v>
          </cell>
        </row>
        <row r="20">
          <cell r="F20">
            <v>3813700</v>
          </cell>
          <cell r="G20" t="str">
            <v>Done</v>
          </cell>
          <cell r="H20">
            <v>45688</v>
          </cell>
          <cell r="I20">
            <v>46418</v>
          </cell>
          <cell r="J20">
            <v>45870</v>
          </cell>
          <cell r="K20">
            <v>548</v>
          </cell>
          <cell r="L20" t="str">
            <v>Not Expired</v>
          </cell>
          <cell r="M20">
            <v>16</v>
          </cell>
          <cell r="N20">
            <v>0</v>
          </cell>
          <cell r="O20">
            <v>0</v>
          </cell>
          <cell r="P20" t="str">
            <v>ACME</v>
          </cell>
          <cell r="Q20" t="str">
            <v>DFIPL Purchase</v>
          </cell>
        </row>
        <row r="21">
          <cell r="F21">
            <v>3828209</v>
          </cell>
          <cell r="G21" t="str">
            <v>Done</v>
          </cell>
          <cell r="H21">
            <v>45703</v>
          </cell>
          <cell r="I21">
            <v>46433</v>
          </cell>
          <cell r="J21">
            <v>45870</v>
          </cell>
          <cell r="K21">
            <v>563</v>
          </cell>
          <cell r="L21" t="str">
            <v>Not Expired</v>
          </cell>
          <cell r="M21">
            <v>16</v>
          </cell>
          <cell r="N21">
            <v>1</v>
          </cell>
          <cell r="O21">
            <v>16</v>
          </cell>
          <cell r="P21" t="str">
            <v>ACME</v>
          </cell>
          <cell r="Q21" t="str">
            <v>DFIPL Purchase</v>
          </cell>
        </row>
        <row r="22">
          <cell r="F22">
            <v>3945313</v>
          </cell>
          <cell r="G22" t="str">
            <v>Done</v>
          </cell>
          <cell r="H22">
            <v>45817</v>
          </cell>
          <cell r="I22">
            <v>46547</v>
          </cell>
          <cell r="J22">
            <v>45870</v>
          </cell>
          <cell r="K22">
            <v>677</v>
          </cell>
          <cell r="L22" t="str">
            <v>Not Expired</v>
          </cell>
          <cell r="M22">
            <v>4</v>
          </cell>
          <cell r="N22">
            <v>83</v>
          </cell>
          <cell r="O22">
            <v>332</v>
          </cell>
          <cell r="P22" t="str">
            <v>ACME</v>
          </cell>
          <cell r="Q22" t="str">
            <v>DFIPL Purchase</v>
          </cell>
        </row>
        <row r="23">
          <cell r="F23">
            <v>3936078</v>
          </cell>
          <cell r="G23" t="str">
            <v>Done</v>
          </cell>
          <cell r="H23">
            <v>45807</v>
          </cell>
          <cell r="I23">
            <v>46527</v>
          </cell>
          <cell r="J23">
            <v>45870</v>
          </cell>
          <cell r="K23">
            <v>657</v>
          </cell>
          <cell r="L23" t="str">
            <v>Not Expired</v>
          </cell>
          <cell r="M23">
            <v>7.5</v>
          </cell>
          <cell r="N23">
            <v>15</v>
          </cell>
          <cell r="O23">
            <v>112.5</v>
          </cell>
          <cell r="P23" t="str">
            <v>ACME</v>
          </cell>
          <cell r="Q23" t="str">
            <v>DFIPL Purchase</v>
          </cell>
        </row>
        <row r="24">
          <cell r="F24">
            <v>3794316</v>
          </cell>
          <cell r="G24" t="str">
            <v>Done</v>
          </cell>
          <cell r="H24">
            <v>45668</v>
          </cell>
          <cell r="I24">
            <v>46398</v>
          </cell>
          <cell r="J24">
            <v>45870</v>
          </cell>
          <cell r="K24">
            <v>528</v>
          </cell>
          <cell r="L24" t="str">
            <v>Not Expired</v>
          </cell>
          <cell r="M24">
            <v>1.25</v>
          </cell>
          <cell r="N24">
            <v>15</v>
          </cell>
          <cell r="O24">
            <v>18.75</v>
          </cell>
          <cell r="P24" t="str">
            <v>ACME</v>
          </cell>
          <cell r="Q24" t="str">
            <v>DFIPL Purchase</v>
          </cell>
        </row>
        <row r="25">
          <cell r="F25">
            <v>3945299</v>
          </cell>
          <cell r="G25" t="str">
            <v>Done</v>
          </cell>
          <cell r="H25">
            <v>45817</v>
          </cell>
          <cell r="I25">
            <v>46547</v>
          </cell>
          <cell r="J25">
            <v>45870</v>
          </cell>
          <cell r="K25">
            <v>677</v>
          </cell>
          <cell r="L25" t="str">
            <v>Not Expired</v>
          </cell>
          <cell r="M25">
            <v>16</v>
          </cell>
          <cell r="N25">
            <v>27</v>
          </cell>
          <cell r="O25">
            <v>432</v>
          </cell>
          <cell r="P25" t="str">
            <v>ACME</v>
          </cell>
          <cell r="Q25" t="str">
            <v>DFIPL Purchase</v>
          </cell>
        </row>
        <row r="26">
          <cell r="F26">
            <v>3945307</v>
          </cell>
          <cell r="G26" t="str">
            <v>Done</v>
          </cell>
          <cell r="H26">
            <v>45817</v>
          </cell>
          <cell r="I26">
            <v>47277</v>
          </cell>
          <cell r="J26">
            <v>45870</v>
          </cell>
          <cell r="K26">
            <v>1407</v>
          </cell>
          <cell r="L26" t="str">
            <v>Not Expired</v>
          </cell>
          <cell r="M26">
            <v>16.809999999999999</v>
          </cell>
          <cell r="N26">
            <v>11</v>
          </cell>
          <cell r="O26">
            <v>184.91</v>
          </cell>
          <cell r="P26" t="str">
            <v>ACME</v>
          </cell>
          <cell r="Q26" t="str">
            <v>DFIPL Purchase</v>
          </cell>
        </row>
        <row r="27">
          <cell r="F27">
            <v>3943270</v>
          </cell>
          <cell r="G27" t="str">
            <v>Done</v>
          </cell>
          <cell r="H27">
            <v>45813</v>
          </cell>
          <cell r="I27">
            <v>47273</v>
          </cell>
          <cell r="J27">
            <v>45870</v>
          </cell>
          <cell r="K27">
            <v>1403</v>
          </cell>
          <cell r="L27" t="str">
            <v>Not Expired</v>
          </cell>
          <cell r="M27">
            <v>17.77</v>
          </cell>
          <cell r="N27">
            <v>1</v>
          </cell>
          <cell r="O27">
            <v>17.77</v>
          </cell>
          <cell r="P27" t="str">
            <v>Welspun</v>
          </cell>
          <cell r="Q27" t="str">
            <v>DFIPL Purchase</v>
          </cell>
        </row>
        <row r="28">
          <cell r="F28">
            <v>3937843</v>
          </cell>
          <cell r="G28" t="str">
            <v>Done</v>
          </cell>
          <cell r="H28">
            <v>45807</v>
          </cell>
          <cell r="I28">
            <v>47267</v>
          </cell>
          <cell r="J28">
            <v>45870</v>
          </cell>
          <cell r="K28">
            <v>1397</v>
          </cell>
          <cell r="L28" t="str">
            <v>Not Expired</v>
          </cell>
          <cell r="M28">
            <v>1.8</v>
          </cell>
          <cell r="N28">
            <v>1</v>
          </cell>
          <cell r="O28">
            <v>1.8</v>
          </cell>
          <cell r="P28" t="str">
            <v>Welspun</v>
          </cell>
          <cell r="Q28" t="str">
            <v>DFIPL Purchase</v>
          </cell>
        </row>
        <row r="29">
          <cell r="F29">
            <v>3937843</v>
          </cell>
          <cell r="G29" t="str">
            <v>Done</v>
          </cell>
          <cell r="H29">
            <v>45807</v>
          </cell>
          <cell r="I29">
            <v>47267</v>
          </cell>
          <cell r="J29">
            <v>45870</v>
          </cell>
          <cell r="K29">
            <v>1397</v>
          </cell>
          <cell r="L29" t="str">
            <v>Not Expired</v>
          </cell>
          <cell r="M29">
            <v>1.8</v>
          </cell>
          <cell r="N29">
            <v>11</v>
          </cell>
          <cell r="O29">
            <v>19.8</v>
          </cell>
          <cell r="P29" t="str">
            <v>ACME</v>
          </cell>
          <cell r="Q29" t="str">
            <v>DFIPL Purchase</v>
          </cell>
        </row>
        <row r="30">
          <cell r="F30">
            <v>3888650</v>
          </cell>
          <cell r="G30" t="str">
            <v>Done</v>
          </cell>
          <cell r="H30">
            <v>45763</v>
          </cell>
          <cell r="I30">
            <v>46493</v>
          </cell>
          <cell r="J30">
            <v>45870</v>
          </cell>
          <cell r="K30">
            <v>623</v>
          </cell>
          <cell r="L30" t="str">
            <v>Not Expired</v>
          </cell>
          <cell r="M30">
            <v>4</v>
          </cell>
          <cell r="N30">
            <v>235</v>
          </cell>
          <cell r="O30">
            <v>940</v>
          </cell>
          <cell r="P30" t="str">
            <v>ACME</v>
          </cell>
          <cell r="Q30" t="str">
            <v>DFIPL Purchase</v>
          </cell>
        </row>
        <row r="31">
          <cell r="F31">
            <v>3888781</v>
          </cell>
          <cell r="G31" t="str">
            <v>Done</v>
          </cell>
          <cell r="H31">
            <v>45763</v>
          </cell>
          <cell r="I31">
            <v>46493</v>
          </cell>
          <cell r="J31">
            <v>45870</v>
          </cell>
          <cell r="K31">
            <v>623</v>
          </cell>
          <cell r="L31" t="str">
            <v>Not Expired</v>
          </cell>
          <cell r="M31">
            <v>4</v>
          </cell>
          <cell r="N31">
            <v>0</v>
          </cell>
          <cell r="O31">
            <v>0</v>
          </cell>
          <cell r="P31" t="str">
            <v>ACME</v>
          </cell>
          <cell r="Q31" t="str">
            <v>DFIPL Purchase</v>
          </cell>
        </row>
        <row r="32">
          <cell r="F32">
            <v>3888540</v>
          </cell>
          <cell r="G32" t="str">
            <v>Done</v>
          </cell>
          <cell r="H32">
            <v>45763</v>
          </cell>
          <cell r="I32">
            <v>46493</v>
          </cell>
          <cell r="J32">
            <v>45870</v>
          </cell>
          <cell r="K32">
            <v>623</v>
          </cell>
          <cell r="L32" t="str">
            <v>Not Expired</v>
          </cell>
          <cell r="M32">
            <v>16</v>
          </cell>
          <cell r="N32">
            <v>69</v>
          </cell>
          <cell r="O32">
            <v>1104</v>
          </cell>
          <cell r="P32" t="str">
            <v>ACME</v>
          </cell>
          <cell r="Q32" t="str">
            <v>DFIPL Purchase</v>
          </cell>
        </row>
        <row r="33">
          <cell r="F33">
            <v>3880190</v>
          </cell>
          <cell r="G33" t="str">
            <v>Done</v>
          </cell>
          <cell r="H33">
            <v>45755</v>
          </cell>
          <cell r="I33">
            <v>46485</v>
          </cell>
          <cell r="J33">
            <v>45870</v>
          </cell>
          <cell r="K33">
            <v>615</v>
          </cell>
          <cell r="L33" t="str">
            <v>Not Expired</v>
          </cell>
          <cell r="M33">
            <v>16</v>
          </cell>
          <cell r="N33">
            <v>115</v>
          </cell>
          <cell r="O33">
            <v>1840</v>
          </cell>
          <cell r="P33" t="str">
            <v>ACME</v>
          </cell>
          <cell r="Q33" t="str">
            <v>DFIPL Purchase</v>
          </cell>
        </row>
        <row r="34">
          <cell r="F34">
            <v>3904148</v>
          </cell>
          <cell r="G34" t="str">
            <v>Done</v>
          </cell>
          <cell r="H34">
            <v>45776</v>
          </cell>
          <cell r="I34">
            <v>47236</v>
          </cell>
          <cell r="J34">
            <v>45870</v>
          </cell>
          <cell r="K34">
            <v>1366</v>
          </cell>
          <cell r="L34" t="str">
            <v>Not Expired</v>
          </cell>
          <cell r="M34">
            <v>2.2000000000000002</v>
          </cell>
          <cell r="N34">
            <v>69</v>
          </cell>
          <cell r="O34">
            <v>151.80000000000001</v>
          </cell>
          <cell r="P34" t="str">
            <v>ACME</v>
          </cell>
          <cell r="Q34" t="str">
            <v>DFIPL Purchase</v>
          </cell>
        </row>
        <row r="35">
          <cell r="F35">
            <v>3896596</v>
          </cell>
          <cell r="G35" t="str">
            <v>Done</v>
          </cell>
          <cell r="H35">
            <v>45770</v>
          </cell>
          <cell r="I35">
            <v>47230</v>
          </cell>
          <cell r="J35">
            <v>45870</v>
          </cell>
          <cell r="K35">
            <v>1360</v>
          </cell>
          <cell r="L35" t="str">
            <v>Not Expired</v>
          </cell>
          <cell r="M35">
            <v>1.8</v>
          </cell>
          <cell r="N35">
            <v>3</v>
          </cell>
          <cell r="O35">
            <v>5.4</v>
          </cell>
          <cell r="P35" t="str">
            <v>ACME</v>
          </cell>
          <cell r="Q35" t="str">
            <v>DFIPL Purchase</v>
          </cell>
        </row>
        <row r="36">
          <cell r="F36">
            <v>3896596</v>
          </cell>
          <cell r="G36" t="str">
            <v>Done</v>
          </cell>
          <cell r="H36">
            <v>45770</v>
          </cell>
          <cell r="I36">
            <v>47230</v>
          </cell>
          <cell r="J36">
            <v>45870</v>
          </cell>
          <cell r="K36">
            <v>1360</v>
          </cell>
          <cell r="L36" t="str">
            <v>Not Expired</v>
          </cell>
          <cell r="M36">
            <v>1.8</v>
          </cell>
          <cell r="N36">
            <v>1</v>
          </cell>
          <cell r="O36">
            <v>1.8</v>
          </cell>
          <cell r="P36" t="str">
            <v>ACME</v>
          </cell>
          <cell r="Q36" t="str">
            <v>DFIPL Purchase</v>
          </cell>
        </row>
        <row r="37">
          <cell r="F37">
            <v>3896596</v>
          </cell>
          <cell r="G37" t="str">
            <v>Done</v>
          </cell>
          <cell r="H37">
            <v>45770</v>
          </cell>
          <cell r="I37">
            <v>47230</v>
          </cell>
          <cell r="J37">
            <v>45870</v>
          </cell>
          <cell r="K37">
            <v>1360</v>
          </cell>
          <cell r="L37" t="str">
            <v>Not Expired</v>
          </cell>
          <cell r="M37">
            <v>1.8</v>
          </cell>
          <cell r="N37">
            <v>1</v>
          </cell>
          <cell r="O37">
            <v>1.8</v>
          </cell>
          <cell r="P37" t="str">
            <v>ACME</v>
          </cell>
          <cell r="Q37" t="str">
            <v>DFIPL Purchase</v>
          </cell>
        </row>
        <row r="38">
          <cell r="F38">
            <v>3896596</v>
          </cell>
          <cell r="G38" t="str">
            <v>Done</v>
          </cell>
          <cell r="H38">
            <v>45770</v>
          </cell>
          <cell r="I38">
            <v>47230</v>
          </cell>
          <cell r="J38">
            <v>45870</v>
          </cell>
          <cell r="K38">
            <v>1360</v>
          </cell>
          <cell r="L38" t="str">
            <v>Not Expired</v>
          </cell>
          <cell r="M38">
            <v>1.8</v>
          </cell>
          <cell r="N38">
            <v>1</v>
          </cell>
          <cell r="O38">
            <v>1.8</v>
          </cell>
          <cell r="P38" t="str">
            <v>ACME</v>
          </cell>
          <cell r="Q38" t="str">
            <v>DFIPL Purchase</v>
          </cell>
        </row>
        <row r="39">
          <cell r="F39">
            <v>3890304</v>
          </cell>
          <cell r="G39" t="str">
            <v>Done</v>
          </cell>
          <cell r="H39">
            <v>45763</v>
          </cell>
          <cell r="I39">
            <v>47223</v>
          </cell>
          <cell r="J39">
            <v>45870</v>
          </cell>
          <cell r="K39">
            <v>1353</v>
          </cell>
          <cell r="L39" t="str">
            <v>Not Expired</v>
          </cell>
          <cell r="M39">
            <v>16.806999999999999</v>
          </cell>
          <cell r="N39">
            <v>3</v>
          </cell>
          <cell r="O39">
            <v>50.420999999999992</v>
          </cell>
          <cell r="P39" t="str">
            <v>ACME</v>
          </cell>
          <cell r="Q39" t="str">
            <v>DFIPL Purchase</v>
          </cell>
        </row>
        <row r="40">
          <cell r="F40">
            <v>3900767</v>
          </cell>
          <cell r="G40" t="str">
            <v>Done</v>
          </cell>
          <cell r="H40">
            <v>45775</v>
          </cell>
          <cell r="I40">
            <v>47235</v>
          </cell>
          <cell r="J40">
            <v>45870</v>
          </cell>
          <cell r="K40">
            <v>1365</v>
          </cell>
          <cell r="L40" t="str">
            <v>Not Expired</v>
          </cell>
          <cell r="M40">
            <v>17.309999999999999</v>
          </cell>
          <cell r="N40">
            <v>1</v>
          </cell>
          <cell r="O40">
            <v>17.309999999999999</v>
          </cell>
          <cell r="P40" t="str">
            <v>ACME</v>
          </cell>
          <cell r="Q40" t="str">
            <v>DFIPL Purchase</v>
          </cell>
        </row>
        <row r="41">
          <cell r="F41">
            <v>3900767</v>
          </cell>
          <cell r="G41" t="str">
            <v>Done</v>
          </cell>
          <cell r="H41">
            <v>45775</v>
          </cell>
          <cell r="I41">
            <v>47235</v>
          </cell>
          <cell r="J41">
            <v>45870</v>
          </cell>
          <cell r="K41">
            <v>1365</v>
          </cell>
          <cell r="L41" t="str">
            <v>Not Expired</v>
          </cell>
          <cell r="M41">
            <v>18.8</v>
          </cell>
          <cell r="N41">
            <v>1</v>
          </cell>
          <cell r="O41">
            <v>18.8</v>
          </cell>
          <cell r="P41" t="str">
            <v>ACME</v>
          </cell>
          <cell r="Q41" t="str">
            <v>DFIPL Purchase</v>
          </cell>
        </row>
        <row r="42">
          <cell r="F42">
            <v>3900767</v>
          </cell>
          <cell r="G42" t="str">
            <v>Done</v>
          </cell>
          <cell r="H42">
            <v>45775</v>
          </cell>
          <cell r="I42">
            <v>47235</v>
          </cell>
          <cell r="J42">
            <v>45870</v>
          </cell>
          <cell r="K42">
            <v>1365</v>
          </cell>
          <cell r="L42" t="str">
            <v>Not Expired</v>
          </cell>
          <cell r="M42">
            <v>17.39</v>
          </cell>
          <cell r="N42">
            <v>1</v>
          </cell>
          <cell r="O42">
            <v>17.39</v>
          </cell>
          <cell r="P42" t="str">
            <v>ACME</v>
          </cell>
          <cell r="Q42" t="str">
            <v>DFIPL Purchase</v>
          </cell>
        </row>
        <row r="43">
          <cell r="F43">
            <v>3860012</v>
          </cell>
          <cell r="G43" t="str">
            <v>Done</v>
          </cell>
          <cell r="H43">
            <v>45734</v>
          </cell>
          <cell r="I43">
            <v>47194</v>
          </cell>
          <cell r="J43">
            <v>45870</v>
          </cell>
          <cell r="K43">
            <v>1324</v>
          </cell>
          <cell r="L43" t="str">
            <v>Not Expired</v>
          </cell>
          <cell r="M43">
            <v>16.02</v>
          </cell>
          <cell r="N43">
            <v>60</v>
          </cell>
          <cell r="O43">
            <v>961.19999999999993</v>
          </cell>
          <cell r="P43" t="str">
            <v>ACME</v>
          </cell>
          <cell r="Q43" t="str">
            <v>DFIPL Purchase</v>
          </cell>
        </row>
        <row r="44">
          <cell r="F44">
            <v>3904037</v>
          </cell>
          <cell r="G44" t="str">
            <v>Done</v>
          </cell>
          <cell r="H44">
            <v>45777</v>
          </cell>
          <cell r="I44">
            <v>47237</v>
          </cell>
          <cell r="J44">
            <v>45870</v>
          </cell>
          <cell r="K44">
            <v>1367</v>
          </cell>
          <cell r="L44" t="str">
            <v>Not Expired</v>
          </cell>
          <cell r="M44">
            <v>16.02</v>
          </cell>
          <cell r="N44">
            <v>10</v>
          </cell>
          <cell r="O44">
            <v>160.19999999999999</v>
          </cell>
          <cell r="P44" t="str">
            <v>ACME</v>
          </cell>
          <cell r="Q44" t="str">
            <v>DFIPL Purchase</v>
          </cell>
        </row>
        <row r="45">
          <cell r="F45">
            <v>3853084</v>
          </cell>
          <cell r="G45" t="str">
            <v>Done</v>
          </cell>
          <cell r="H45">
            <v>45727</v>
          </cell>
          <cell r="I45">
            <v>46457</v>
          </cell>
          <cell r="J45">
            <v>45870</v>
          </cell>
          <cell r="K45">
            <v>587</v>
          </cell>
          <cell r="L45" t="str">
            <v>Not Expired</v>
          </cell>
          <cell r="M45">
            <v>16</v>
          </cell>
          <cell r="N45">
            <v>55</v>
          </cell>
          <cell r="O45">
            <v>880</v>
          </cell>
          <cell r="P45" t="str">
            <v>ACME</v>
          </cell>
          <cell r="Q45" t="str">
            <v>DFIPL Purchase</v>
          </cell>
        </row>
        <row r="46">
          <cell r="F46">
            <v>3904020</v>
          </cell>
          <cell r="G46" t="str">
            <v>Done</v>
          </cell>
          <cell r="H46">
            <v>45777</v>
          </cell>
          <cell r="I46">
            <v>47237</v>
          </cell>
          <cell r="J46">
            <v>45870</v>
          </cell>
          <cell r="K46">
            <v>1367</v>
          </cell>
          <cell r="L46" t="str">
            <v>Not Expired</v>
          </cell>
          <cell r="M46">
            <v>20</v>
          </cell>
          <cell r="N46">
            <v>16</v>
          </cell>
          <cell r="O46">
            <v>320</v>
          </cell>
          <cell r="P46" t="str">
            <v>ACME</v>
          </cell>
          <cell r="Q46" t="str">
            <v>DFIPL Purchase</v>
          </cell>
        </row>
        <row r="47">
          <cell r="F47">
            <v>3905653</v>
          </cell>
          <cell r="G47" t="str">
            <v>Done</v>
          </cell>
          <cell r="H47">
            <v>45779</v>
          </cell>
          <cell r="I47">
            <v>47239</v>
          </cell>
          <cell r="J47">
            <v>45870</v>
          </cell>
          <cell r="K47">
            <v>1369</v>
          </cell>
          <cell r="L47" t="str">
            <v>Not Expired</v>
          </cell>
          <cell r="M47">
            <v>20</v>
          </cell>
          <cell r="N47">
            <v>33</v>
          </cell>
          <cell r="O47">
            <v>660</v>
          </cell>
          <cell r="P47" t="str">
            <v>ACME</v>
          </cell>
          <cell r="Q47" t="str">
            <v>DFIPL Purchase</v>
          </cell>
        </row>
        <row r="48">
          <cell r="F48">
            <v>3902728</v>
          </cell>
          <cell r="G48" t="str">
            <v>Done</v>
          </cell>
          <cell r="H48">
            <v>45776</v>
          </cell>
          <cell r="I48">
            <v>47236</v>
          </cell>
          <cell r="J48">
            <v>45870</v>
          </cell>
          <cell r="K48">
            <v>1366</v>
          </cell>
          <cell r="L48" t="str">
            <v>Not Expired</v>
          </cell>
          <cell r="M48">
            <v>20</v>
          </cell>
          <cell r="N48">
            <v>2</v>
          </cell>
          <cell r="O48">
            <v>40</v>
          </cell>
          <cell r="P48" t="str">
            <v>ACME</v>
          </cell>
          <cell r="Q48" t="str">
            <v>DFIPL Purchase</v>
          </cell>
        </row>
        <row r="49">
          <cell r="F49">
            <v>3958435</v>
          </cell>
          <cell r="G49" t="str">
            <v>Done</v>
          </cell>
          <cell r="H49">
            <v>45834</v>
          </cell>
          <cell r="I49">
            <v>47288</v>
          </cell>
          <cell r="J49">
            <v>45870</v>
          </cell>
          <cell r="K49">
            <v>1418</v>
          </cell>
          <cell r="L49" t="str">
            <v>Not Expired</v>
          </cell>
          <cell r="M49">
            <v>20</v>
          </cell>
          <cell r="N49">
            <v>3</v>
          </cell>
          <cell r="O49">
            <v>60</v>
          </cell>
          <cell r="P49" t="str">
            <v>ACME</v>
          </cell>
          <cell r="Q49" t="str">
            <v>DFIPL Purchase</v>
          </cell>
        </row>
        <row r="50">
          <cell r="F50">
            <v>3956929</v>
          </cell>
          <cell r="G50" t="str">
            <v>Done</v>
          </cell>
          <cell r="H50">
            <v>45827</v>
          </cell>
          <cell r="I50">
            <v>47287</v>
          </cell>
          <cell r="J50">
            <v>45870</v>
          </cell>
          <cell r="K50">
            <v>1417</v>
          </cell>
          <cell r="L50" t="str">
            <v>Not Expired</v>
          </cell>
          <cell r="M50">
            <v>20</v>
          </cell>
          <cell r="N50">
            <v>20</v>
          </cell>
          <cell r="O50">
            <v>400</v>
          </cell>
          <cell r="P50" t="str">
            <v>ACME</v>
          </cell>
          <cell r="Q50" t="str">
            <v>DFIPL Purchase</v>
          </cell>
        </row>
        <row r="51">
          <cell r="F51">
            <v>3945313</v>
          </cell>
          <cell r="G51" t="str">
            <v>Done</v>
          </cell>
          <cell r="H51">
            <v>45817</v>
          </cell>
          <cell r="I51">
            <v>46547</v>
          </cell>
          <cell r="J51">
            <v>45870</v>
          </cell>
          <cell r="K51">
            <v>677</v>
          </cell>
          <cell r="L51" t="str">
            <v>Not Expired</v>
          </cell>
          <cell r="M51">
            <v>4</v>
          </cell>
          <cell r="N51">
            <v>57</v>
          </cell>
          <cell r="O51">
            <v>228</v>
          </cell>
          <cell r="P51" t="str">
            <v>ACME</v>
          </cell>
          <cell r="Q51" t="str">
            <v>DFIPL Purchase</v>
          </cell>
        </row>
        <row r="52">
          <cell r="F52">
            <v>3945298</v>
          </cell>
          <cell r="G52" t="str">
            <v>Done</v>
          </cell>
          <cell r="H52">
            <v>45817</v>
          </cell>
          <cell r="I52">
            <v>46547</v>
          </cell>
          <cell r="J52">
            <v>45870</v>
          </cell>
          <cell r="K52">
            <v>677</v>
          </cell>
          <cell r="L52" t="str">
            <v>Not Expired</v>
          </cell>
          <cell r="M52">
            <v>16</v>
          </cell>
          <cell r="N52">
            <v>110</v>
          </cell>
          <cell r="O52">
            <v>1760</v>
          </cell>
          <cell r="P52" t="str">
            <v>ACME</v>
          </cell>
          <cell r="Q52" t="str">
            <v>DFIPL Purchase</v>
          </cell>
        </row>
        <row r="53">
          <cell r="F53">
            <v>74085142</v>
          </cell>
          <cell r="G53" t="str">
            <v>Done</v>
          </cell>
          <cell r="H53">
            <v>45532</v>
          </cell>
          <cell r="I53">
            <v>45897</v>
          </cell>
          <cell r="J53">
            <v>45870</v>
          </cell>
          <cell r="K53">
            <v>27</v>
          </cell>
          <cell r="L53" t="str">
            <v>Not Expired</v>
          </cell>
          <cell r="M53">
            <v>16.399999999999999</v>
          </cell>
          <cell r="N53">
            <v>13</v>
          </cell>
          <cell r="O53">
            <v>213.2</v>
          </cell>
          <cell r="P53" t="str">
            <v xml:space="preserve">Ayana </v>
          </cell>
          <cell r="Q53" t="str">
            <v>DFIPL Purchase</v>
          </cell>
        </row>
        <row r="54">
          <cell r="F54">
            <v>74095323</v>
          </cell>
          <cell r="G54" t="str">
            <v>Done</v>
          </cell>
          <cell r="H54">
            <v>45580</v>
          </cell>
          <cell r="I54">
            <v>46068</v>
          </cell>
          <cell r="J54">
            <v>45870</v>
          </cell>
          <cell r="K54">
            <v>198</v>
          </cell>
          <cell r="L54" t="str">
            <v>Not Expired</v>
          </cell>
          <cell r="M54">
            <v>16.399999999999999</v>
          </cell>
          <cell r="N54">
            <v>15</v>
          </cell>
          <cell r="O54">
            <v>245.99999999999997</v>
          </cell>
          <cell r="P54" t="str">
            <v xml:space="preserve">Ayana </v>
          </cell>
          <cell r="Q54" t="str">
            <v>DFIPL Purchase</v>
          </cell>
        </row>
        <row r="55">
          <cell r="F55">
            <v>74105021</v>
          </cell>
          <cell r="G55" t="str">
            <v>Done</v>
          </cell>
          <cell r="H55">
            <v>45568</v>
          </cell>
          <cell r="I55">
            <v>47394</v>
          </cell>
          <cell r="J55">
            <v>45870</v>
          </cell>
          <cell r="K55">
            <v>1524</v>
          </cell>
          <cell r="L55" t="str">
            <v>Not Expired</v>
          </cell>
          <cell r="M55">
            <v>20</v>
          </cell>
          <cell r="N55">
            <v>1</v>
          </cell>
          <cell r="O55">
            <v>20</v>
          </cell>
          <cell r="P55" t="str">
            <v xml:space="preserve">Ayana </v>
          </cell>
          <cell r="Q55" t="str">
            <v>DFIPL Purchase</v>
          </cell>
        </row>
        <row r="56">
          <cell r="F56">
            <v>74065098</v>
          </cell>
          <cell r="G56" t="str">
            <v>Done</v>
          </cell>
          <cell r="H56">
            <v>45456</v>
          </cell>
          <cell r="I56">
            <v>45899</v>
          </cell>
          <cell r="J56">
            <v>45870</v>
          </cell>
          <cell r="K56">
            <v>29</v>
          </cell>
          <cell r="L56" t="str">
            <v>Not Expired</v>
          </cell>
          <cell r="M56">
            <v>3.6</v>
          </cell>
          <cell r="N56">
            <v>15</v>
          </cell>
          <cell r="O56">
            <v>54</v>
          </cell>
          <cell r="P56" t="str">
            <v xml:space="preserve">Ayana </v>
          </cell>
          <cell r="Q56" t="str">
            <v>DFIPL Purchase</v>
          </cell>
        </row>
        <row r="57">
          <cell r="F57">
            <v>74065098</v>
          </cell>
          <cell r="G57" t="str">
            <v>Done</v>
          </cell>
          <cell r="H57">
            <v>45456</v>
          </cell>
          <cell r="I57">
            <v>45899</v>
          </cell>
          <cell r="J57">
            <v>45870</v>
          </cell>
          <cell r="K57">
            <v>29</v>
          </cell>
          <cell r="L57" t="str">
            <v>Not Expired</v>
          </cell>
          <cell r="M57">
            <v>3.6</v>
          </cell>
          <cell r="N57">
            <v>9</v>
          </cell>
          <cell r="O57">
            <v>32.4</v>
          </cell>
          <cell r="P57" t="str">
            <v xml:space="preserve">Ayana </v>
          </cell>
          <cell r="Q57" t="str">
            <v>DFIPL Purchase</v>
          </cell>
        </row>
        <row r="58">
          <cell r="F58">
            <v>74055154</v>
          </cell>
          <cell r="G58" t="str">
            <v>Done</v>
          </cell>
          <cell r="H58">
            <v>45433</v>
          </cell>
          <cell r="I58">
            <v>45899</v>
          </cell>
          <cell r="J58">
            <v>45870</v>
          </cell>
          <cell r="K58">
            <v>29</v>
          </cell>
          <cell r="L58" t="str">
            <v>Not Expired</v>
          </cell>
          <cell r="M58">
            <v>3.6</v>
          </cell>
          <cell r="N58">
            <v>4</v>
          </cell>
          <cell r="O58">
            <v>14.4</v>
          </cell>
          <cell r="P58" t="str">
            <v xml:space="preserve">Ayana </v>
          </cell>
          <cell r="Q58" t="str">
            <v>DFIPL Purchase</v>
          </cell>
        </row>
        <row r="59">
          <cell r="F59">
            <v>75045329</v>
          </cell>
          <cell r="G59" t="str">
            <v>Done</v>
          </cell>
          <cell r="H59" t="e">
            <v>#N/A</v>
          </cell>
          <cell r="I59" t="e">
            <v>#N/A</v>
          </cell>
          <cell r="J59">
            <v>45870</v>
          </cell>
          <cell r="K59" t="e">
            <v>#N/A</v>
          </cell>
          <cell r="L59" t="e">
            <v>#N/A</v>
          </cell>
          <cell r="M59">
            <v>17.5</v>
          </cell>
          <cell r="N59">
            <v>1</v>
          </cell>
          <cell r="O59">
            <v>17.5</v>
          </cell>
          <cell r="P59" t="str">
            <v xml:space="preserve">Ayana </v>
          </cell>
          <cell r="Q59" t="str">
            <v>DFIPL Purchase</v>
          </cell>
        </row>
        <row r="60">
          <cell r="F60">
            <v>75045249</v>
          </cell>
          <cell r="G60" t="str">
            <v>Done</v>
          </cell>
          <cell r="H60" t="e">
            <v>#N/A</v>
          </cell>
          <cell r="I60" t="e">
            <v>#N/A</v>
          </cell>
          <cell r="J60">
            <v>45870</v>
          </cell>
          <cell r="K60" t="e">
            <v>#N/A</v>
          </cell>
          <cell r="L60" t="e">
            <v>#N/A</v>
          </cell>
          <cell r="M60">
            <v>2.5</v>
          </cell>
          <cell r="N60">
            <v>1</v>
          </cell>
          <cell r="O60">
            <v>2.5</v>
          </cell>
          <cell r="P60" t="str">
            <v xml:space="preserve">Ayana </v>
          </cell>
          <cell r="Q60" t="str">
            <v>DFIPL Purchase</v>
          </cell>
        </row>
        <row r="61">
          <cell r="F61">
            <v>75065061</v>
          </cell>
          <cell r="G61" t="str">
            <v>Done</v>
          </cell>
          <cell r="H61" t="e">
            <v>#N/A</v>
          </cell>
          <cell r="I61" t="e">
            <v>#N/A</v>
          </cell>
          <cell r="J61">
            <v>45870</v>
          </cell>
          <cell r="K61" t="e">
            <v>#N/A</v>
          </cell>
          <cell r="L61" t="e">
            <v>#N/A</v>
          </cell>
          <cell r="M61">
            <v>20</v>
          </cell>
          <cell r="N61">
            <v>5</v>
          </cell>
          <cell r="O61">
            <v>100</v>
          </cell>
          <cell r="P61" t="str">
            <v xml:space="preserve">Ayana </v>
          </cell>
          <cell r="Q61" t="str">
            <v>DFIPL Purchase</v>
          </cell>
        </row>
        <row r="62">
          <cell r="F62">
            <v>75065063</v>
          </cell>
          <cell r="G62" t="str">
            <v>Done</v>
          </cell>
          <cell r="H62" t="e">
            <v>#N/A</v>
          </cell>
          <cell r="I62" t="e">
            <v>#N/A</v>
          </cell>
          <cell r="J62">
            <v>45870</v>
          </cell>
          <cell r="K62" t="e">
            <v>#N/A</v>
          </cell>
          <cell r="L62" t="e">
            <v>#N/A</v>
          </cell>
          <cell r="M62">
            <v>20</v>
          </cell>
          <cell r="N62">
            <v>4</v>
          </cell>
          <cell r="O62">
            <v>80</v>
          </cell>
          <cell r="P62" t="str">
            <v xml:space="preserve">Ayana </v>
          </cell>
          <cell r="Q62" t="str">
            <v>DFIPL Purchase</v>
          </cell>
        </row>
        <row r="63">
          <cell r="F63">
            <v>3413173</v>
          </cell>
          <cell r="G63" t="str">
            <v>Done</v>
          </cell>
          <cell r="H63">
            <v>45323</v>
          </cell>
          <cell r="I63">
            <v>46053</v>
          </cell>
          <cell r="J63">
            <v>45870</v>
          </cell>
          <cell r="K63">
            <v>183</v>
          </cell>
          <cell r="L63" t="str">
            <v>Not Expired</v>
          </cell>
          <cell r="M63">
            <v>1.25</v>
          </cell>
          <cell r="N63">
            <v>6</v>
          </cell>
          <cell r="O63">
            <v>7.5</v>
          </cell>
          <cell r="P63" t="str">
            <v xml:space="preserve">Ayana </v>
          </cell>
          <cell r="Q63" t="str">
            <v>DFIPL Purchase</v>
          </cell>
        </row>
        <row r="64">
          <cell r="F64">
            <v>3593644</v>
          </cell>
          <cell r="G64" t="str">
            <v>Done</v>
          </cell>
          <cell r="H64">
            <v>45502</v>
          </cell>
          <cell r="I64">
            <v>46231</v>
          </cell>
          <cell r="J64">
            <v>45870</v>
          </cell>
          <cell r="K64">
            <v>361</v>
          </cell>
          <cell r="L64" t="str">
            <v>Not Expired</v>
          </cell>
          <cell r="M64">
            <v>1.8</v>
          </cell>
          <cell r="N64">
            <v>3</v>
          </cell>
          <cell r="O64">
            <v>5.4</v>
          </cell>
          <cell r="P64" t="str">
            <v xml:space="preserve">Ayana </v>
          </cell>
          <cell r="Q64" t="str">
            <v>DFIPL Purchase</v>
          </cell>
        </row>
        <row r="65">
          <cell r="F65">
            <v>3593644</v>
          </cell>
          <cell r="G65" t="str">
            <v>Done</v>
          </cell>
          <cell r="H65">
            <v>45502</v>
          </cell>
          <cell r="I65">
            <v>46231</v>
          </cell>
          <cell r="J65">
            <v>45870</v>
          </cell>
          <cell r="K65">
            <v>361</v>
          </cell>
          <cell r="L65" t="str">
            <v>Not Expired</v>
          </cell>
          <cell r="M65">
            <v>1.8</v>
          </cell>
          <cell r="N65">
            <v>2</v>
          </cell>
          <cell r="O65">
            <v>3.6</v>
          </cell>
          <cell r="P65"/>
          <cell r="Q65" t="str">
            <v>DFIPL Purchase</v>
          </cell>
        </row>
        <row r="66">
          <cell r="F66">
            <v>3435264</v>
          </cell>
          <cell r="G66" t="str">
            <v>Done</v>
          </cell>
          <cell r="H66">
            <v>45349</v>
          </cell>
          <cell r="I66">
            <v>46809</v>
          </cell>
          <cell r="J66">
            <v>45870</v>
          </cell>
          <cell r="K66">
            <v>939</v>
          </cell>
          <cell r="L66" t="str">
            <v>Not Expired</v>
          </cell>
          <cell r="M66">
            <v>16.399999999999999</v>
          </cell>
          <cell r="N66">
            <v>1</v>
          </cell>
          <cell r="O66">
            <v>16.399999999999999</v>
          </cell>
          <cell r="P66" t="str">
            <v xml:space="preserve">Ayana </v>
          </cell>
          <cell r="Q66" t="str">
            <v>DFIPL Purchase</v>
          </cell>
        </row>
        <row r="67">
          <cell r="F67">
            <v>3586051</v>
          </cell>
          <cell r="G67" t="str">
            <v>Done</v>
          </cell>
          <cell r="H67">
            <v>45493</v>
          </cell>
          <cell r="I67">
            <v>46953</v>
          </cell>
          <cell r="J67">
            <v>45870</v>
          </cell>
          <cell r="K67">
            <v>1083</v>
          </cell>
          <cell r="L67" t="str">
            <v>Not Expired</v>
          </cell>
          <cell r="M67">
            <v>16.399999999999999</v>
          </cell>
          <cell r="N67">
            <v>3</v>
          </cell>
          <cell r="O67">
            <v>49.199999999999996</v>
          </cell>
          <cell r="P67" t="str">
            <v xml:space="preserve">Ayana </v>
          </cell>
          <cell r="Q67" t="str">
            <v>DFIPL Purchase</v>
          </cell>
        </row>
        <row r="68">
          <cell r="F68">
            <v>3585994</v>
          </cell>
          <cell r="G68" t="str">
            <v>Done</v>
          </cell>
          <cell r="H68">
            <v>45492</v>
          </cell>
          <cell r="I68">
            <v>46952</v>
          </cell>
          <cell r="J68">
            <v>45870</v>
          </cell>
          <cell r="K68">
            <v>1082</v>
          </cell>
          <cell r="L68" t="str">
            <v>Not Expired</v>
          </cell>
          <cell r="M68">
            <v>16.399999999999999</v>
          </cell>
          <cell r="N68">
            <v>2</v>
          </cell>
          <cell r="O68">
            <v>32.799999999999997</v>
          </cell>
          <cell r="P68" t="str">
            <v xml:space="preserve">Ayana </v>
          </cell>
          <cell r="Q68" t="str">
            <v>DFIPL Purchase</v>
          </cell>
        </row>
        <row r="69">
          <cell r="F69">
            <v>3802586</v>
          </cell>
          <cell r="G69" t="str">
            <v>Done</v>
          </cell>
          <cell r="H69" t="e">
            <v>#N/A</v>
          </cell>
          <cell r="I69" t="e">
            <v>#N/A</v>
          </cell>
          <cell r="J69">
            <v>45870</v>
          </cell>
          <cell r="K69" t="e">
            <v>#N/A</v>
          </cell>
          <cell r="L69" t="e">
            <v>#N/A</v>
          </cell>
          <cell r="M69">
            <v>9</v>
          </cell>
          <cell r="N69">
            <v>1</v>
          </cell>
          <cell r="O69">
            <v>9</v>
          </cell>
          <cell r="P69" t="str">
            <v>Common</v>
          </cell>
          <cell r="Q69" t="str">
            <v>DFIPL Purchase</v>
          </cell>
        </row>
        <row r="70">
          <cell r="F70">
            <v>3338629</v>
          </cell>
          <cell r="G70" t="str">
            <v>Done</v>
          </cell>
          <cell r="H70">
            <v>45251</v>
          </cell>
          <cell r="I70">
            <v>45981</v>
          </cell>
          <cell r="J70">
            <v>45870</v>
          </cell>
          <cell r="K70">
            <v>111</v>
          </cell>
          <cell r="L70" t="str">
            <v>Not Expired</v>
          </cell>
          <cell r="M70">
            <v>7.5</v>
          </cell>
          <cell r="N70">
            <v>1</v>
          </cell>
          <cell r="O70">
            <v>7.5</v>
          </cell>
          <cell r="P70" t="str">
            <v xml:space="preserve">Ayana </v>
          </cell>
          <cell r="Q70" t="str">
            <v>DFIPL Purchase</v>
          </cell>
        </row>
        <row r="71">
          <cell r="F71">
            <v>3413309</v>
          </cell>
          <cell r="G71" t="str">
            <v>Done</v>
          </cell>
          <cell r="H71">
            <v>45323</v>
          </cell>
          <cell r="I71">
            <v>46053</v>
          </cell>
          <cell r="J71">
            <v>45870</v>
          </cell>
          <cell r="K71">
            <v>183</v>
          </cell>
          <cell r="L71" t="str">
            <v>Not Expired</v>
          </cell>
          <cell r="M71">
            <v>7.5</v>
          </cell>
          <cell r="N71">
            <v>1</v>
          </cell>
          <cell r="O71">
            <v>7.5</v>
          </cell>
          <cell r="P71" t="str">
            <v xml:space="preserve">Ayana </v>
          </cell>
          <cell r="Q71" t="str">
            <v>DFIPL Purchase</v>
          </cell>
        </row>
        <row r="72">
          <cell r="F72">
            <v>3231343</v>
          </cell>
          <cell r="G72" t="str">
            <v>Done</v>
          </cell>
          <cell r="H72">
            <v>45146</v>
          </cell>
          <cell r="I72">
            <v>45876</v>
          </cell>
          <cell r="J72">
            <v>45870</v>
          </cell>
          <cell r="K72">
            <v>6</v>
          </cell>
          <cell r="L72" t="str">
            <v>Not Expired</v>
          </cell>
          <cell r="M72">
            <v>7.5</v>
          </cell>
          <cell r="N72">
            <v>2</v>
          </cell>
          <cell r="O72">
            <v>15</v>
          </cell>
          <cell r="P72" t="str">
            <v xml:space="preserve">Ayana </v>
          </cell>
          <cell r="Q72" t="str">
            <v>DFIPL Purchase</v>
          </cell>
        </row>
        <row r="73">
          <cell r="F73">
            <v>3296904</v>
          </cell>
          <cell r="G73" t="str">
            <v>Done</v>
          </cell>
          <cell r="H73">
            <v>45210</v>
          </cell>
          <cell r="I73">
            <v>46670</v>
          </cell>
          <cell r="J73">
            <v>45870</v>
          </cell>
          <cell r="K73">
            <v>800</v>
          </cell>
          <cell r="L73" t="str">
            <v>Not Expired</v>
          </cell>
          <cell r="M73">
            <v>5</v>
          </cell>
          <cell r="N73">
            <v>1</v>
          </cell>
          <cell r="O73">
            <v>5</v>
          </cell>
          <cell r="P73" t="str">
            <v xml:space="preserve">Ayana </v>
          </cell>
          <cell r="Q73" t="str">
            <v>DFIPL Purchase</v>
          </cell>
        </row>
        <row r="74">
          <cell r="F74">
            <v>3260696</v>
          </cell>
          <cell r="G74" t="str">
            <v>Done</v>
          </cell>
          <cell r="H74">
            <v>45175</v>
          </cell>
          <cell r="I74">
            <v>46635</v>
          </cell>
          <cell r="J74">
            <v>45870</v>
          </cell>
          <cell r="K74">
            <v>765</v>
          </cell>
          <cell r="L74" t="str">
            <v>Not Expired</v>
          </cell>
          <cell r="M74">
            <v>5</v>
          </cell>
          <cell r="N74">
            <v>1</v>
          </cell>
          <cell r="O74">
            <v>5</v>
          </cell>
          <cell r="P74" t="str">
            <v xml:space="preserve">Ayana </v>
          </cell>
          <cell r="Q74" t="str">
            <v>DFIPL Purchase</v>
          </cell>
        </row>
        <row r="75">
          <cell r="F75">
            <v>3626370</v>
          </cell>
          <cell r="G75" t="str">
            <v>Done</v>
          </cell>
          <cell r="H75">
            <v>45533</v>
          </cell>
          <cell r="I75">
            <v>46263</v>
          </cell>
          <cell r="J75">
            <v>45870</v>
          </cell>
          <cell r="K75">
            <v>393</v>
          </cell>
          <cell r="L75" t="str">
            <v>Not Expired</v>
          </cell>
          <cell r="M75">
            <v>4</v>
          </cell>
          <cell r="N75">
            <v>4</v>
          </cell>
          <cell r="O75">
            <v>16</v>
          </cell>
          <cell r="P75" t="str">
            <v xml:space="preserve">Ayana </v>
          </cell>
          <cell r="Q75" t="str">
            <v>DFIPL Purchase</v>
          </cell>
        </row>
        <row r="76">
          <cell r="F76">
            <v>3828327</v>
          </cell>
          <cell r="G76" t="str">
            <v>Done</v>
          </cell>
          <cell r="H76">
            <v>45703</v>
          </cell>
          <cell r="I76">
            <v>46433</v>
          </cell>
          <cell r="J76">
            <v>45870</v>
          </cell>
          <cell r="K76">
            <v>563</v>
          </cell>
          <cell r="L76" t="str">
            <v>Not Expired</v>
          </cell>
          <cell r="M76">
            <v>4</v>
          </cell>
          <cell r="N76">
            <v>1</v>
          </cell>
          <cell r="O76">
            <v>4</v>
          </cell>
          <cell r="P76" t="str">
            <v xml:space="preserve">Ayana </v>
          </cell>
          <cell r="Q76" t="str">
            <v>DFIPL Purchase</v>
          </cell>
        </row>
        <row r="77">
          <cell r="F77">
            <v>3628964</v>
          </cell>
          <cell r="G77" t="str">
            <v>Done</v>
          </cell>
          <cell r="H77">
            <v>45537</v>
          </cell>
          <cell r="I77">
            <v>46997</v>
          </cell>
          <cell r="J77">
            <v>45870</v>
          </cell>
          <cell r="K77">
            <v>1127</v>
          </cell>
          <cell r="L77" t="str">
            <v>Not Expired</v>
          </cell>
          <cell r="M77">
            <v>3.3</v>
          </cell>
          <cell r="N77">
            <v>1</v>
          </cell>
          <cell r="O77">
            <v>3.3</v>
          </cell>
          <cell r="P77" t="str">
            <v xml:space="preserve">Ayana </v>
          </cell>
          <cell r="Q77" t="str">
            <v>DFIPL Purchase</v>
          </cell>
        </row>
        <row r="78">
          <cell r="F78">
            <v>3461087</v>
          </cell>
          <cell r="G78" t="str">
            <v>Done</v>
          </cell>
          <cell r="H78">
            <v>45372</v>
          </cell>
          <cell r="I78">
            <v>46832</v>
          </cell>
          <cell r="J78">
            <v>45870</v>
          </cell>
          <cell r="K78">
            <v>962</v>
          </cell>
          <cell r="L78" t="str">
            <v>Not Expired</v>
          </cell>
          <cell r="M78">
            <v>0.45</v>
          </cell>
          <cell r="N78">
            <v>1</v>
          </cell>
          <cell r="O78">
            <v>0.45</v>
          </cell>
          <cell r="P78" t="str">
            <v xml:space="preserve">Ayana </v>
          </cell>
          <cell r="Q78" t="str">
            <v>DFIPL Purchase</v>
          </cell>
        </row>
        <row r="79">
          <cell r="F79">
            <v>3628121</v>
          </cell>
          <cell r="G79" t="str">
            <v>Done</v>
          </cell>
          <cell r="H79">
            <v>45534</v>
          </cell>
          <cell r="I79">
            <v>46254</v>
          </cell>
          <cell r="J79">
            <v>45870</v>
          </cell>
          <cell r="K79">
            <v>384</v>
          </cell>
          <cell r="L79" t="str">
            <v>Not Expired</v>
          </cell>
          <cell r="M79">
            <v>16</v>
          </cell>
          <cell r="N79">
            <v>9</v>
          </cell>
          <cell r="O79">
            <v>144</v>
          </cell>
          <cell r="P79" t="str">
            <v xml:space="preserve">Ayana </v>
          </cell>
          <cell r="Q79" t="str">
            <v>DFIPL Purchase</v>
          </cell>
        </row>
        <row r="80">
          <cell r="F80">
            <v>3624897</v>
          </cell>
          <cell r="G80" t="str">
            <v>Done</v>
          </cell>
          <cell r="H80">
            <v>45532</v>
          </cell>
          <cell r="I80">
            <v>46262</v>
          </cell>
          <cell r="J80">
            <v>45870</v>
          </cell>
          <cell r="K80">
            <v>392</v>
          </cell>
          <cell r="L80" t="str">
            <v>Not Expired</v>
          </cell>
          <cell r="M80">
            <v>16</v>
          </cell>
          <cell r="N80">
            <v>3</v>
          </cell>
          <cell r="O80">
            <v>48</v>
          </cell>
          <cell r="P80" t="str">
            <v xml:space="preserve">Ayana </v>
          </cell>
          <cell r="Q80" t="str">
            <v>DFIPL Purchase</v>
          </cell>
        </row>
        <row r="81">
          <cell r="F81">
            <v>3597698</v>
          </cell>
          <cell r="G81" t="str">
            <v>Done</v>
          </cell>
          <cell r="H81">
            <v>45504</v>
          </cell>
          <cell r="I81">
            <v>46234</v>
          </cell>
          <cell r="J81">
            <v>45870</v>
          </cell>
          <cell r="K81">
            <v>364</v>
          </cell>
          <cell r="L81" t="str">
            <v>Not Expired</v>
          </cell>
          <cell r="M81">
            <v>16</v>
          </cell>
          <cell r="N81">
            <v>2</v>
          </cell>
          <cell r="O81">
            <v>32</v>
          </cell>
          <cell r="P81" t="str">
            <v xml:space="preserve">Ayana </v>
          </cell>
          <cell r="Q81" t="str">
            <v>DFIPL Purchase</v>
          </cell>
        </row>
        <row r="82">
          <cell r="F82">
            <v>3682857</v>
          </cell>
          <cell r="G82" t="str">
            <v>Done</v>
          </cell>
          <cell r="H82">
            <v>45575</v>
          </cell>
          <cell r="I82">
            <v>45574</v>
          </cell>
          <cell r="J82">
            <v>45870</v>
          </cell>
          <cell r="K82">
            <v>-296</v>
          </cell>
          <cell r="L82" t="str">
            <v>Expired</v>
          </cell>
          <cell r="M82">
            <v>20</v>
          </cell>
          <cell r="N82">
            <v>4</v>
          </cell>
          <cell r="O82">
            <v>80</v>
          </cell>
          <cell r="P82" t="str">
            <v xml:space="preserve">Ayana </v>
          </cell>
          <cell r="Q82" t="str">
            <v>DFIPL Purchase</v>
          </cell>
        </row>
        <row r="83">
          <cell r="F83">
            <v>3630657</v>
          </cell>
          <cell r="G83" t="str">
            <v>Done</v>
          </cell>
          <cell r="H83">
            <v>45538</v>
          </cell>
          <cell r="I83">
            <v>46268</v>
          </cell>
          <cell r="J83">
            <v>45870</v>
          </cell>
          <cell r="K83">
            <v>398</v>
          </cell>
          <cell r="L83" t="str">
            <v>Not Expired</v>
          </cell>
          <cell r="M83">
            <v>16</v>
          </cell>
          <cell r="N83">
            <v>1</v>
          </cell>
          <cell r="O83">
            <v>16</v>
          </cell>
          <cell r="P83" t="str">
            <v xml:space="preserve">Ayana </v>
          </cell>
          <cell r="Q83" t="str">
            <v>DFIPL Purchase</v>
          </cell>
        </row>
        <row r="84">
          <cell r="F84">
            <v>3604593</v>
          </cell>
          <cell r="G84" t="str">
            <v>Done</v>
          </cell>
          <cell r="H84">
            <v>45512</v>
          </cell>
          <cell r="I84">
            <v>46242</v>
          </cell>
          <cell r="J84">
            <v>45870</v>
          </cell>
          <cell r="K84">
            <v>372</v>
          </cell>
          <cell r="L84" t="str">
            <v>Not Expired</v>
          </cell>
          <cell r="M84">
            <v>16</v>
          </cell>
          <cell r="N84">
            <v>1</v>
          </cell>
          <cell r="O84">
            <v>16</v>
          </cell>
          <cell r="P84" t="str">
            <v xml:space="preserve">Ayana </v>
          </cell>
          <cell r="Q84" t="str">
            <v>DFIPL Purchase</v>
          </cell>
        </row>
        <row r="85">
          <cell r="F85">
            <v>3690471</v>
          </cell>
          <cell r="G85" t="str">
            <v>Done</v>
          </cell>
          <cell r="H85">
            <v>45582</v>
          </cell>
          <cell r="I85">
            <v>46312</v>
          </cell>
          <cell r="J85">
            <v>45870</v>
          </cell>
          <cell r="K85">
            <v>442</v>
          </cell>
          <cell r="L85" t="str">
            <v>Not Expired</v>
          </cell>
          <cell r="M85">
            <v>4</v>
          </cell>
          <cell r="N85">
            <v>8</v>
          </cell>
          <cell r="O85">
            <v>32</v>
          </cell>
          <cell r="P85" t="str">
            <v xml:space="preserve">Ayana </v>
          </cell>
          <cell r="Q85" t="str">
            <v>DFIPL Purchase</v>
          </cell>
        </row>
        <row r="86">
          <cell r="F86">
            <v>3628963</v>
          </cell>
          <cell r="G86" t="str">
            <v>Done</v>
          </cell>
          <cell r="H86">
            <v>45537</v>
          </cell>
          <cell r="I86">
            <v>46267</v>
          </cell>
          <cell r="J86">
            <v>45870</v>
          </cell>
          <cell r="K86">
            <v>397</v>
          </cell>
          <cell r="L86" t="str">
            <v>Not Expired</v>
          </cell>
          <cell r="M86">
            <v>4</v>
          </cell>
          <cell r="N86">
            <v>7</v>
          </cell>
          <cell r="O86">
            <v>28</v>
          </cell>
          <cell r="P86" t="str">
            <v xml:space="preserve">Ayana </v>
          </cell>
          <cell r="Q86" t="str">
            <v>DFIPL Purchase</v>
          </cell>
        </row>
        <row r="87">
          <cell r="F87">
            <v>3061070</v>
          </cell>
          <cell r="G87" t="str">
            <v>Done</v>
          </cell>
          <cell r="H87">
            <v>44972</v>
          </cell>
          <cell r="I87">
            <v>45702</v>
          </cell>
          <cell r="J87">
            <v>45870</v>
          </cell>
          <cell r="K87">
            <v>-168</v>
          </cell>
          <cell r="L87" t="str">
            <v>Expired</v>
          </cell>
          <cell r="M87">
            <v>16</v>
          </cell>
          <cell r="N87">
            <v>1</v>
          </cell>
          <cell r="O87">
            <v>16</v>
          </cell>
          <cell r="P87" t="str">
            <v xml:space="preserve">Ayana </v>
          </cell>
          <cell r="Q87" t="str">
            <v>DFIPL Purchase</v>
          </cell>
        </row>
        <row r="88">
          <cell r="F88">
            <v>2426573</v>
          </cell>
          <cell r="G88" t="str">
            <v>Done</v>
          </cell>
          <cell r="H88">
            <v>44261</v>
          </cell>
          <cell r="I88">
            <v>45721</v>
          </cell>
          <cell r="J88">
            <v>45870</v>
          </cell>
          <cell r="K88">
            <v>-149</v>
          </cell>
          <cell r="L88" t="str">
            <v>Expired</v>
          </cell>
          <cell r="M88">
            <v>16.829999999999998</v>
          </cell>
          <cell r="N88">
            <v>1</v>
          </cell>
          <cell r="O88">
            <v>16.829999999999998</v>
          </cell>
          <cell r="P88" t="str">
            <v xml:space="preserve">Ayana </v>
          </cell>
          <cell r="Q88" t="str">
            <v>DFIPL Purchase</v>
          </cell>
        </row>
        <row r="89">
          <cell r="F89">
            <v>2859306</v>
          </cell>
          <cell r="G89" t="str">
            <v>done</v>
          </cell>
          <cell r="H89">
            <v>44743</v>
          </cell>
          <cell r="I89">
            <v>45473</v>
          </cell>
          <cell r="J89">
            <v>45870</v>
          </cell>
          <cell r="K89">
            <v>-397</v>
          </cell>
          <cell r="L89" t="str">
            <v>Expired</v>
          </cell>
          <cell r="M89">
            <v>6.75</v>
          </cell>
          <cell r="N89">
            <v>1</v>
          </cell>
          <cell r="O89">
            <v>6.75</v>
          </cell>
          <cell r="P89" t="str">
            <v xml:space="preserve">Ayana </v>
          </cell>
          <cell r="Q89" t="str">
            <v>DFIPL Purchase</v>
          </cell>
        </row>
        <row r="90">
          <cell r="F90">
            <v>2582705</v>
          </cell>
          <cell r="G90" t="str">
            <v>Done</v>
          </cell>
          <cell r="H90">
            <v>44432</v>
          </cell>
          <cell r="I90">
            <v>45162</v>
          </cell>
          <cell r="J90">
            <v>45870</v>
          </cell>
          <cell r="K90">
            <v>-708</v>
          </cell>
          <cell r="L90" t="str">
            <v>Expired</v>
          </cell>
          <cell r="M90">
            <v>6.75</v>
          </cell>
          <cell r="N90">
            <v>1</v>
          </cell>
          <cell r="O90">
            <v>6.75</v>
          </cell>
          <cell r="P90" t="str">
            <v xml:space="preserve">Ayana </v>
          </cell>
          <cell r="Q90" t="str">
            <v>DFIPL Purchase</v>
          </cell>
        </row>
        <row r="91">
          <cell r="F91">
            <v>3587698</v>
          </cell>
          <cell r="G91" t="str">
            <v>Done</v>
          </cell>
          <cell r="H91">
            <v>45504</v>
          </cell>
          <cell r="I91">
            <v>46234</v>
          </cell>
          <cell r="J91">
            <v>45870</v>
          </cell>
          <cell r="K91">
            <v>364</v>
          </cell>
          <cell r="L91" t="str">
            <v>Not Expired</v>
          </cell>
          <cell r="M91">
            <v>16</v>
          </cell>
          <cell r="N91">
            <v>1</v>
          </cell>
          <cell r="O91">
            <v>16</v>
          </cell>
          <cell r="P91" t="str">
            <v xml:space="preserve">Ayana </v>
          </cell>
          <cell r="Q91" t="str">
            <v>DFIPL Purchase</v>
          </cell>
        </row>
        <row r="92">
          <cell r="F92">
            <v>3019219</v>
          </cell>
          <cell r="G92" t="str">
            <v>Done</v>
          </cell>
          <cell r="H92">
            <v>44923</v>
          </cell>
          <cell r="I92">
            <v>46383</v>
          </cell>
          <cell r="J92">
            <v>45870</v>
          </cell>
          <cell r="K92">
            <v>513</v>
          </cell>
          <cell r="L92" t="str">
            <v>Not Expired</v>
          </cell>
          <cell r="M92">
            <v>1.8</v>
          </cell>
          <cell r="N92">
            <v>1</v>
          </cell>
          <cell r="O92">
            <v>1.8</v>
          </cell>
          <cell r="P92" t="str">
            <v xml:space="preserve">Ayana </v>
          </cell>
          <cell r="Q92" t="str">
            <v>DFIPL Purchase</v>
          </cell>
        </row>
        <row r="93">
          <cell r="F93">
            <v>3019219</v>
          </cell>
          <cell r="G93" t="str">
            <v>Done</v>
          </cell>
          <cell r="H93">
            <v>44923</v>
          </cell>
          <cell r="I93">
            <v>46383</v>
          </cell>
          <cell r="J93">
            <v>45870</v>
          </cell>
          <cell r="K93">
            <v>513</v>
          </cell>
          <cell r="L93" t="str">
            <v>Not Expired</v>
          </cell>
          <cell r="M93">
            <v>1.8</v>
          </cell>
          <cell r="N93">
            <v>1</v>
          </cell>
          <cell r="O93">
            <v>1.8</v>
          </cell>
          <cell r="P93" t="str">
            <v xml:space="preserve">Ayana </v>
          </cell>
          <cell r="Q93" t="str">
            <v>DFIPL Purchase</v>
          </cell>
        </row>
        <row r="94">
          <cell r="F94">
            <v>2934027</v>
          </cell>
          <cell r="G94" t="str">
            <v>Done</v>
          </cell>
          <cell r="H94">
            <v>44827</v>
          </cell>
          <cell r="I94">
            <v>46287</v>
          </cell>
          <cell r="J94">
            <v>45870</v>
          </cell>
          <cell r="K94">
            <v>417</v>
          </cell>
          <cell r="L94" t="str">
            <v>Not Expired</v>
          </cell>
          <cell r="M94">
            <v>1.8</v>
          </cell>
          <cell r="N94">
            <v>1</v>
          </cell>
          <cell r="O94">
            <v>1.8</v>
          </cell>
          <cell r="P94" t="str">
            <v xml:space="preserve">Ayana </v>
          </cell>
          <cell r="Q94" t="str">
            <v>DFIPL Purchase</v>
          </cell>
        </row>
        <row r="95">
          <cell r="F95">
            <v>2538093</v>
          </cell>
          <cell r="G95" t="str">
            <v>Done</v>
          </cell>
          <cell r="H95">
            <v>44376</v>
          </cell>
          <cell r="I95">
            <v>45106</v>
          </cell>
          <cell r="J95">
            <v>45870</v>
          </cell>
          <cell r="K95">
            <v>-764</v>
          </cell>
          <cell r="L95" t="str">
            <v>Expired</v>
          </cell>
          <cell r="M95">
            <v>2.25</v>
          </cell>
          <cell r="N95">
            <v>1</v>
          </cell>
          <cell r="O95">
            <v>2.25</v>
          </cell>
          <cell r="P95" t="str">
            <v xml:space="preserve">Ayana </v>
          </cell>
          <cell r="Q95" t="str">
            <v>DFIPL Purchase</v>
          </cell>
        </row>
        <row r="96">
          <cell r="F96">
            <v>3687934</v>
          </cell>
          <cell r="G96" t="str">
            <v>Done</v>
          </cell>
          <cell r="H96">
            <v>45580</v>
          </cell>
          <cell r="I96">
            <v>47040</v>
          </cell>
          <cell r="J96">
            <v>45870</v>
          </cell>
          <cell r="K96">
            <v>1170</v>
          </cell>
          <cell r="L96" t="str">
            <v>Not Expired</v>
          </cell>
          <cell r="M96">
            <v>5</v>
          </cell>
          <cell r="N96">
            <v>2</v>
          </cell>
          <cell r="O96">
            <v>10</v>
          </cell>
          <cell r="P96" t="str">
            <v xml:space="preserve">Ayana </v>
          </cell>
          <cell r="Q96" t="str">
            <v>DFIPL Purchase</v>
          </cell>
        </row>
        <row r="97">
          <cell r="F97">
            <v>3103737</v>
          </cell>
          <cell r="G97" t="str">
            <v>Done</v>
          </cell>
          <cell r="H97">
            <v>45013</v>
          </cell>
          <cell r="I97">
            <v>46473</v>
          </cell>
          <cell r="J97">
            <v>45870</v>
          </cell>
          <cell r="K97">
            <v>603</v>
          </cell>
          <cell r="L97" t="str">
            <v>Not Expired</v>
          </cell>
          <cell r="M97">
            <v>5</v>
          </cell>
          <cell r="N97">
            <v>2</v>
          </cell>
          <cell r="O97">
            <v>10</v>
          </cell>
          <cell r="P97" t="str">
            <v xml:space="preserve">Ayana </v>
          </cell>
          <cell r="Q97" t="str">
            <v>DFIPL Purchase</v>
          </cell>
        </row>
        <row r="98">
          <cell r="F98">
            <v>3640958</v>
          </cell>
          <cell r="G98" t="str">
            <v>Done</v>
          </cell>
          <cell r="H98">
            <v>45547</v>
          </cell>
          <cell r="I98">
            <v>47007</v>
          </cell>
          <cell r="J98">
            <v>45870</v>
          </cell>
          <cell r="K98">
            <v>1137</v>
          </cell>
          <cell r="L98" t="str">
            <v>Not Expired</v>
          </cell>
          <cell r="M98">
            <v>5</v>
          </cell>
          <cell r="N98">
            <v>1</v>
          </cell>
          <cell r="O98">
            <v>5</v>
          </cell>
          <cell r="P98" t="str">
            <v xml:space="preserve">Ayana </v>
          </cell>
          <cell r="Q98" t="str">
            <v>DFIPL Purchase</v>
          </cell>
        </row>
        <row r="99">
          <cell r="F99">
            <v>3092173</v>
          </cell>
          <cell r="G99" t="str">
            <v>Done</v>
          </cell>
          <cell r="H99">
            <v>45001</v>
          </cell>
          <cell r="I99">
            <v>46461</v>
          </cell>
          <cell r="J99">
            <v>45870</v>
          </cell>
          <cell r="K99">
            <v>591</v>
          </cell>
          <cell r="L99" t="str">
            <v>Not Expired</v>
          </cell>
          <cell r="M99">
            <v>3.3</v>
          </cell>
          <cell r="N99">
            <v>9</v>
          </cell>
          <cell r="O99">
            <v>29.7</v>
          </cell>
          <cell r="P99" t="str">
            <v xml:space="preserve">Ayana </v>
          </cell>
          <cell r="Q99" t="str">
            <v>DFIPL Purchase</v>
          </cell>
        </row>
        <row r="100">
          <cell r="F100">
            <v>3069140</v>
          </cell>
          <cell r="G100" t="str">
            <v>Done</v>
          </cell>
          <cell r="H100">
            <v>44980</v>
          </cell>
          <cell r="I100">
            <v>46440</v>
          </cell>
          <cell r="J100">
            <v>45870</v>
          </cell>
          <cell r="K100">
            <v>570</v>
          </cell>
          <cell r="L100" t="str">
            <v>Not Expired</v>
          </cell>
          <cell r="M100">
            <v>4.17</v>
          </cell>
          <cell r="N100">
            <v>1</v>
          </cell>
          <cell r="O100">
            <v>4.17</v>
          </cell>
          <cell r="P100" t="str">
            <v xml:space="preserve">Ayana </v>
          </cell>
          <cell r="Q100" t="str">
            <v>DFIPL Purchase</v>
          </cell>
        </row>
        <row r="101">
          <cell r="F101">
            <v>3070505</v>
          </cell>
          <cell r="G101" t="str">
            <v>Done</v>
          </cell>
          <cell r="H101">
            <v>44981</v>
          </cell>
          <cell r="I101">
            <v>46441</v>
          </cell>
          <cell r="J101">
            <v>45870</v>
          </cell>
          <cell r="K101">
            <v>571</v>
          </cell>
          <cell r="L101" t="str">
            <v>Not Expired</v>
          </cell>
          <cell r="M101">
            <v>0.83</v>
          </cell>
          <cell r="N101">
            <v>1</v>
          </cell>
          <cell r="O101">
            <v>0.83</v>
          </cell>
          <cell r="P101" t="str">
            <v xml:space="preserve">Ayana </v>
          </cell>
          <cell r="Q101" t="str">
            <v>DFIPL Purchase</v>
          </cell>
        </row>
        <row r="102">
          <cell r="F102">
            <v>3218585</v>
          </cell>
          <cell r="G102" t="str">
            <v>Done</v>
          </cell>
          <cell r="H102">
            <v>45132</v>
          </cell>
          <cell r="I102">
            <v>46592</v>
          </cell>
          <cell r="J102">
            <v>45870</v>
          </cell>
          <cell r="K102">
            <v>722</v>
          </cell>
          <cell r="L102" t="str">
            <v>Not Expired</v>
          </cell>
          <cell r="M102">
            <v>20</v>
          </cell>
          <cell r="N102">
            <v>2</v>
          </cell>
          <cell r="O102">
            <v>40</v>
          </cell>
          <cell r="P102" t="str">
            <v xml:space="preserve">Ayana </v>
          </cell>
          <cell r="Q102" t="str">
            <v>DFIPL Purchase</v>
          </cell>
        </row>
        <row r="103">
          <cell r="F103">
            <v>3243690</v>
          </cell>
          <cell r="G103" t="str">
            <v>Done</v>
          </cell>
          <cell r="H103">
            <v>45156</v>
          </cell>
          <cell r="I103">
            <v>46616</v>
          </cell>
          <cell r="J103">
            <v>45870</v>
          </cell>
          <cell r="K103">
            <v>746</v>
          </cell>
          <cell r="L103" t="str">
            <v>Not Expired</v>
          </cell>
          <cell r="M103">
            <v>20</v>
          </cell>
          <cell r="N103">
            <v>1</v>
          </cell>
          <cell r="O103">
            <v>20</v>
          </cell>
          <cell r="P103" t="str">
            <v xml:space="preserve">Ayana </v>
          </cell>
          <cell r="Q103" t="str">
            <v>DFIPL Purchase</v>
          </cell>
        </row>
        <row r="104">
          <cell r="F104">
            <v>2580592</v>
          </cell>
          <cell r="G104" t="str">
            <v>Done</v>
          </cell>
          <cell r="H104">
            <v>44431</v>
          </cell>
          <cell r="I104">
            <v>45161</v>
          </cell>
          <cell r="J104">
            <v>45870</v>
          </cell>
          <cell r="K104">
            <v>-709</v>
          </cell>
          <cell r="L104" t="str">
            <v>Expired</v>
          </cell>
          <cell r="M104">
            <v>16</v>
          </cell>
          <cell r="N104">
            <v>1</v>
          </cell>
          <cell r="O104">
            <v>16</v>
          </cell>
          <cell r="P104" t="str">
            <v xml:space="preserve">Ayana </v>
          </cell>
          <cell r="Q104" t="str">
            <v>DFIPL Purchase</v>
          </cell>
        </row>
        <row r="105">
          <cell r="F105">
            <v>3070411</v>
          </cell>
          <cell r="G105" t="str">
            <v>Done</v>
          </cell>
          <cell r="H105">
            <v>44981</v>
          </cell>
          <cell r="I105">
            <v>45711</v>
          </cell>
          <cell r="J105">
            <v>45870</v>
          </cell>
          <cell r="K105">
            <v>-159</v>
          </cell>
          <cell r="L105" t="str">
            <v>Expired</v>
          </cell>
          <cell r="M105">
            <v>16</v>
          </cell>
          <cell r="N105">
            <v>1</v>
          </cell>
          <cell r="O105">
            <v>16</v>
          </cell>
          <cell r="P105" t="str">
            <v xml:space="preserve">Ayana </v>
          </cell>
          <cell r="Q105" t="str">
            <v>DFIPL Purchase</v>
          </cell>
        </row>
        <row r="106">
          <cell r="F106">
            <v>2994594</v>
          </cell>
          <cell r="G106" t="str">
            <v>Done</v>
          </cell>
          <cell r="H106">
            <v>44894</v>
          </cell>
          <cell r="I106">
            <v>46354</v>
          </cell>
          <cell r="J106">
            <v>45870</v>
          </cell>
          <cell r="K106">
            <v>484</v>
          </cell>
          <cell r="L106" t="str">
            <v>Not Expired</v>
          </cell>
          <cell r="M106">
            <v>16.47</v>
          </cell>
          <cell r="N106">
            <v>1</v>
          </cell>
          <cell r="O106">
            <v>16.47</v>
          </cell>
          <cell r="P106" t="str">
            <v xml:space="preserve">Ayana </v>
          </cell>
          <cell r="Q106" t="str">
            <v>DFIPL Purchase</v>
          </cell>
        </row>
        <row r="107">
          <cell r="F107">
            <v>2418301</v>
          </cell>
          <cell r="G107" t="str">
            <v>Done</v>
          </cell>
          <cell r="H107">
            <v>44232</v>
          </cell>
          <cell r="I107">
            <v>45692</v>
          </cell>
          <cell r="J107">
            <v>45870</v>
          </cell>
          <cell r="K107">
            <v>-178</v>
          </cell>
          <cell r="L107" t="str">
            <v>Expired</v>
          </cell>
          <cell r="M107">
            <v>17.39</v>
          </cell>
          <cell r="N107">
            <v>1</v>
          </cell>
          <cell r="O107">
            <v>17.39</v>
          </cell>
          <cell r="P107" t="str">
            <v xml:space="preserve">Ayana </v>
          </cell>
          <cell r="Q107" t="str">
            <v>DFIPL Purchase</v>
          </cell>
        </row>
        <row r="108">
          <cell r="F108">
            <v>2921072</v>
          </cell>
          <cell r="G108" t="str">
            <v>Done</v>
          </cell>
          <cell r="H108">
            <v>44816</v>
          </cell>
          <cell r="I108">
            <v>46276</v>
          </cell>
          <cell r="J108">
            <v>45870</v>
          </cell>
          <cell r="K108">
            <v>406</v>
          </cell>
          <cell r="L108" t="str">
            <v>Not Expired</v>
          </cell>
          <cell r="M108">
            <v>18.170000000000002</v>
          </cell>
          <cell r="N108">
            <v>1</v>
          </cell>
          <cell r="O108">
            <v>18.170000000000002</v>
          </cell>
          <cell r="P108" t="str">
            <v xml:space="preserve">Ayana </v>
          </cell>
          <cell r="Q108" t="str">
            <v>DFIPL Purchase</v>
          </cell>
        </row>
        <row r="109">
          <cell r="F109">
            <v>3945314</v>
          </cell>
          <cell r="G109" t="str">
            <v>Done</v>
          </cell>
          <cell r="H109">
            <v>45817</v>
          </cell>
          <cell r="I109">
            <v>46547</v>
          </cell>
          <cell r="J109">
            <v>45870</v>
          </cell>
          <cell r="K109">
            <v>677</v>
          </cell>
          <cell r="L109" t="str">
            <v>Not Expired</v>
          </cell>
          <cell r="M109">
            <v>4</v>
          </cell>
          <cell r="N109">
            <v>23</v>
          </cell>
          <cell r="O109">
            <v>92</v>
          </cell>
          <cell r="P109" t="str">
            <v>SGRE</v>
          </cell>
          <cell r="Q109" t="str">
            <v>DFIPL Purchase</v>
          </cell>
        </row>
        <row r="110">
          <cell r="F110">
            <v>3791386</v>
          </cell>
          <cell r="G110" t="str">
            <v>Done</v>
          </cell>
          <cell r="H110">
            <v>45666</v>
          </cell>
          <cell r="I110">
            <v>46396</v>
          </cell>
          <cell r="J110">
            <v>45870</v>
          </cell>
          <cell r="K110">
            <v>526</v>
          </cell>
          <cell r="L110" t="str">
            <v>Not Expired</v>
          </cell>
          <cell r="M110">
            <v>16</v>
          </cell>
          <cell r="N110">
            <v>23</v>
          </cell>
          <cell r="O110">
            <v>368</v>
          </cell>
          <cell r="P110" t="str">
            <v>SGRE</v>
          </cell>
          <cell r="Q110" t="str">
            <v>DFIPL Purchase</v>
          </cell>
        </row>
        <row r="111">
          <cell r="F111">
            <v>3785031</v>
          </cell>
          <cell r="G111" t="str">
            <v>Done</v>
          </cell>
          <cell r="H111">
            <v>45664</v>
          </cell>
          <cell r="I111">
            <v>47124</v>
          </cell>
          <cell r="J111">
            <v>45870</v>
          </cell>
          <cell r="K111">
            <v>1254</v>
          </cell>
          <cell r="L111" t="str">
            <v>Not Expired</v>
          </cell>
          <cell r="M111">
            <v>20</v>
          </cell>
          <cell r="N111">
            <v>12</v>
          </cell>
          <cell r="O111">
            <v>240</v>
          </cell>
          <cell r="P111" t="str">
            <v>SGRE</v>
          </cell>
          <cell r="Q111" t="str">
            <v>DFIPL Purchase</v>
          </cell>
        </row>
        <row r="112">
          <cell r="F112">
            <v>3178851</v>
          </cell>
          <cell r="G112" t="str">
            <v>Done</v>
          </cell>
          <cell r="H112">
            <v>45091</v>
          </cell>
          <cell r="I112">
            <v>46003</v>
          </cell>
          <cell r="J112">
            <v>45870</v>
          </cell>
          <cell r="K112">
            <v>133</v>
          </cell>
          <cell r="L112" t="str">
            <v>Not Expired</v>
          </cell>
          <cell r="M112">
            <v>16</v>
          </cell>
          <cell r="N112">
            <v>13</v>
          </cell>
          <cell r="O112">
            <v>208</v>
          </cell>
          <cell r="P112" t="str">
            <v>SGRE</v>
          </cell>
          <cell r="Q112" t="str">
            <v>DFIPL Purchase</v>
          </cell>
        </row>
        <row r="113">
          <cell r="F113">
            <v>3789932</v>
          </cell>
          <cell r="G113" t="str">
            <v>Done</v>
          </cell>
          <cell r="H113">
            <v>45665</v>
          </cell>
          <cell r="I113">
            <v>47125</v>
          </cell>
          <cell r="J113">
            <v>45870</v>
          </cell>
          <cell r="K113">
            <v>1255</v>
          </cell>
          <cell r="L113" t="str">
            <v>Not Expired</v>
          </cell>
          <cell r="M113">
            <v>3.3</v>
          </cell>
          <cell r="N113">
            <v>31</v>
          </cell>
          <cell r="O113">
            <v>102.3</v>
          </cell>
          <cell r="P113" t="str">
            <v>SGRE</v>
          </cell>
          <cell r="Q113" t="str">
            <v>DFIPL Purchase</v>
          </cell>
        </row>
        <row r="114">
          <cell r="F114">
            <v>3794353</v>
          </cell>
          <cell r="G114" t="str">
            <v>Done</v>
          </cell>
          <cell r="H114">
            <v>45668</v>
          </cell>
          <cell r="I114">
            <v>46398</v>
          </cell>
          <cell r="J114">
            <v>45870</v>
          </cell>
          <cell r="K114">
            <v>528</v>
          </cell>
          <cell r="L114" t="str">
            <v>Not Expired</v>
          </cell>
          <cell r="M114">
            <v>16</v>
          </cell>
          <cell r="N114">
            <v>11</v>
          </cell>
          <cell r="O114">
            <v>176</v>
          </cell>
          <cell r="P114" t="str">
            <v>SGRE</v>
          </cell>
          <cell r="Q114" t="str">
            <v>DFIPL Purchase</v>
          </cell>
        </row>
        <row r="115">
          <cell r="F115">
            <v>3785028</v>
          </cell>
          <cell r="G115" t="str">
            <v>Done</v>
          </cell>
          <cell r="H115">
            <v>45660</v>
          </cell>
          <cell r="I115">
            <v>46390</v>
          </cell>
          <cell r="J115">
            <v>45870</v>
          </cell>
          <cell r="K115">
            <v>520</v>
          </cell>
          <cell r="L115" t="str">
            <v>Not Expired</v>
          </cell>
          <cell r="M115">
            <v>4</v>
          </cell>
          <cell r="N115">
            <v>30</v>
          </cell>
          <cell r="O115">
            <v>120</v>
          </cell>
          <cell r="P115" t="str">
            <v>SGRE</v>
          </cell>
          <cell r="Q115" t="str">
            <v>DFIPL Purchase</v>
          </cell>
        </row>
        <row r="116">
          <cell r="F116">
            <v>3720780</v>
          </cell>
          <cell r="G116" t="str">
            <v>Done</v>
          </cell>
          <cell r="H116">
            <v>45611</v>
          </cell>
          <cell r="I116">
            <v>47071</v>
          </cell>
          <cell r="J116">
            <v>45870</v>
          </cell>
          <cell r="K116">
            <v>1201</v>
          </cell>
          <cell r="L116" t="str">
            <v>Not Expired</v>
          </cell>
          <cell r="M116">
            <v>1.8</v>
          </cell>
          <cell r="N116">
            <v>2</v>
          </cell>
          <cell r="O116">
            <v>3.6</v>
          </cell>
          <cell r="P116" t="str">
            <v>SGRE</v>
          </cell>
          <cell r="Q116" t="str">
            <v>DFIPL Purchase</v>
          </cell>
        </row>
        <row r="117">
          <cell r="F117">
            <v>3463648</v>
          </cell>
          <cell r="G117" t="str">
            <v>Done</v>
          </cell>
          <cell r="H117">
            <v>45373</v>
          </cell>
          <cell r="I117">
            <v>46833</v>
          </cell>
          <cell r="J117">
            <v>45870</v>
          </cell>
          <cell r="K117">
            <v>963</v>
          </cell>
          <cell r="L117" t="str">
            <v>Not Expired</v>
          </cell>
          <cell r="M117">
            <v>16.7</v>
          </cell>
          <cell r="N117">
            <v>5</v>
          </cell>
          <cell r="O117">
            <v>83.5</v>
          </cell>
          <cell r="P117" t="str">
            <v>SGRE</v>
          </cell>
          <cell r="Q117" t="str">
            <v>DFIPL Purchase</v>
          </cell>
        </row>
        <row r="118">
          <cell r="F118">
            <v>3791457</v>
          </cell>
          <cell r="G118" t="str">
            <v>Done</v>
          </cell>
          <cell r="H118">
            <v>45666</v>
          </cell>
          <cell r="I118">
            <v>47126</v>
          </cell>
          <cell r="J118">
            <v>45870</v>
          </cell>
          <cell r="K118">
            <v>1256</v>
          </cell>
          <cell r="L118" t="str">
            <v>Not Expired</v>
          </cell>
          <cell r="M118">
            <v>16.7</v>
          </cell>
          <cell r="N118">
            <v>24</v>
          </cell>
          <cell r="O118">
            <v>400.79999999999995</v>
          </cell>
          <cell r="P118" t="str">
            <v>SGRE</v>
          </cell>
          <cell r="Q118" t="str">
            <v>DFIPL Purchase</v>
          </cell>
        </row>
        <row r="119">
          <cell r="F119">
            <v>3917944</v>
          </cell>
          <cell r="G119" t="str">
            <v>Done</v>
          </cell>
          <cell r="H119" t="e">
            <v>#N/A</v>
          </cell>
          <cell r="I119" t="e">
            <v>#N/A</v>
          </cell>
          <cell r="J119">
            <v>45870</v>
          </cell>
          <cell r="K119" t="e">
            <v>#N/A</v>
          </cell>
          <cell r="L119" t="e">
            <v>#N/A</v>
          </cell>
          <cell r="M119">
            <v>18.2</v>
          </cell>
          <cell r="N119">
            <v>3</v>
          </cell>
          <cell r="O119">
            <v>54.599999999999994</v>
          </cell>
          <cell r="P119" t="str">
            <v>SGRE</v>
          </cell>
          <cell r="Q119" t="str">
            <v>DFIPL Purchase</v>
          </cell>
        </row>
        <row r="120">
          <cell r="F120">
            <v>2845867</v>
          </cell>
          <cell r="G120" t="str">
            <v>Done</v>
          </cell>
          <cell r="H120">
            <v>44729</v>
          </cell>
          <cell r="I120">
            <v>46189</v>
          </cell>
          <cell r="J120">
            <v>45870</v>
          </cell>
          <cell r="K120">
            <v>319</v>
          </cell>
          <cell r="L120" t="str">
            <v>Not Expired</v>
          </cell>
          <cell r="M120">
            <v>18.2</v>
          </cell>
          <cell r="N120">
            <v>25</v>
          </cell>
          <cell r="O120">
            <v>455</v>
          </cell>
          <cell r="P120" t="str">
            <v>SGRE</v>
          </cell>
          <cell r="Q120" t="str">
            <v>DFIPL Purchase</v>
          </cell>
        </row>
        <row r="121">
          <cell r="F121">
            <v>2829609</v>
          </cell>
          <cell r="G121" t="str">
            <v>Done</v>
          </cell>
          <cell r="H121">
            <v>44713</v>
          </cell>
          <cell r="I121">
            <v>46173</v>
          </cell>
          <cell r="J121">
            <v>45870</v>
          </cell>
          <cell r="K121">
            <v>303</v>
          </cell>
          <cell r="L121" t="str">
            <v>Not Expired</v>
          </cell>
          <cell r="M121">
            <v>18.2</v>
          </cell>
          <cell r="N121">
            <v>3</v>
          </cell>
          <cell r="O121">
            <v>54.599999999999994</v>
          </cell>
          <cell r="P121" t="str">
            <v>SGRE</v>
          </cell>
          <cell r="Q121" t="str">
            <v>DFIPL Purchase</v>
          </cell>
        </row>
        <row r="122">
          <cell r="F122">
            <v>2422866</v>
          </cell>
          <cell r="G122" t="str">
            <v>done</v>
          </cell>
          <cell r="H122">
            <v>44237</v>
          </cell>
          <cell r="I122">
            <v>45697</v>
          </cell>
          <cell r="J122">
            <v>45870</v>
          </cell>
          <cell r="K122">
            <v>-173</v>
          </cell>
          <cell r="L122" t="str">
            <v>Expired</v>
          </cell>
          <cell r="M122">
            <v>16.7</v>
          </cell>
          <cell r="N122">
            <v>4</v>
          </cell>
          <cell r="O122">
            <v>66.8</v>
          </cell>
          <cell r="P122" t="str">
            <v>SGRE</v>
          </cell>
          <cell r="Q122" t="str">
            <v>DFIPL Purchase</v>
          </cell>
        </row>
        <row r="123">
          <cell r="F123">
            <v>2436400</v>
          </cell>
          <cell r="G123" t="str">
            <v>Done</v>
          </cell>
          <cell r="H123">
            <v>44265</v>
          </cell>
          <cell r="I123">
            <v>45908</v>
          </cell>
          <cell r="J123">
            <v>45870</v>
          </cell>
          <cell r="K123">
            <v>38</v>
          </cell>
          <cell r="L123" t="str">
            <v>Not Expired</v>
          </cell>
          <cell r="M123">
            <v>16.7</v>
          </cell>
          <cell r="N123">
            <v>9</v>
          </cell>
          <cell r="O123">
            <v>150.29999999999998</v>
          </cell>
          <cell r="P123" t="str">
            <v>SGRE</v>
          </cell>
          <cell r="Q123" t="str">
            <v>DFIPL Purchase</v>
          </cell>
        </row>
        <row r="124">
          <cell r="F124">
            <v>2471867</v>
          </cell>
          <cell r="G124" t="str">
            <v>Done</v>
          </cell>
          <cell r="H124">
            <v>44299</v>
          </cell>
          <cell r="I124">
            <v>45941</v>
          </cell>
          <cell r="J124">
            <v>45870</v>
          </cell>
          <cell r="K124">
            <v>71</v>
          </cell>
          <cell r="L124" t="str">
            <v>Not Expired</v>
          </cell>
          <cell r="M124">
            <v>16.7</v>
          </cell>
          <cell r="N124">
            <v>11</v>
          </cell>
          <cell r="O124">
            <v>183.7</v>
          </cell>
          <cell r="P124" t="str">
            <v>SGRE</v>
          </cell>
          <cell r="Q124" t="str">
            <v>DFIPL Purchase</v>
          </cell>
        </row>
        <row r="125">
          <cell r="F125">
            <v>2721654</v>
          </cell>
          <cell r="G125" t="str">
            <v>Done</v>
          </cell>
          <cell r="H125">
            <v>44589</v>
          </cell>
          <cell r="I125">
            <v>46049</v>
          </cell>
          <cell r="J125">
            <v>45870</v>
          </cell>
          <cell r="K125">
            <v>179</v>
          </cell>
          <cell r="L125" t="str">
            <v>Not Expired</v>
          </cell>
          <cell r="M125">
            <v>18.2</v>
          </cell>
          <cell r="N125">
            <v>6</v>
          </cell>
          <cell r="O125">
            <v>109.19999999999999</v>
          </cell>
          <cell r="P125" t="str">
            <v>SGRE</v>
          </cell>
          <cell r="Q125" t="str">
            <v>DFIPL Purchase</v>
          </cell>
        </row>
        <row r="126">
          <cell r="F126">
            <v>2580915</v>
          </cell>
          <cell r="G126" t="str">
            <v>Done</v>
          </cell>
          <cell r="H126">
            <v>44432</v>
          </cell>
          <cell r="I126">
            <v>45162</v>
          </cell>
          <cell r="J126">
            <v>45870</v>
          </cell>
          <cell r="K126">
            <v>-708</v>
          </cell>
          <cell r="L126" t="str">
            <v>Expired</v>
          </cell>
          <cell r="M126">
            <v>16</v>
          </cell>
          <cell r="N126">
            <v>2</v>
          </cell>
          <cell r="O126">
            <v>32</v>
          </cell>
          <cell r="P126" t="str">
            <v>SGRE</v>
          </cell>
          <cell r="Q126" t="str">
            <v>DFIPL Purchase</v>
          </cell>
        </row>
        <row r="127">
          <cell r="F127">
            <v>2736868</v>
          </cell>
          <cell r="G127" t="str">
            <v>Done</v>
          </cell>
          <cell r="H127">
            <v>44608</v>
          </cell>
          <cell r="I127">
            <v>45338</v>
          </cell>
          <cell r="J127">
            <v>45870</v>
          </cell>
          <cell r="K127">
            <v>-532</v>
          </cell>
          <cell r="L127" t="str">
            <v>Expired</v>
          </cell>
          <cell r="M127">
            <v>16</v>
          </cell>
          <cell r="N127">
            <v>1</v>
          </cell>
          <cell r="O127">
            <v>16</v>
          </cell>
          <cell r="P127" t="str">
            <v>SGRE</v>
          </cell>
          <cell r="Q127" t="str">
            <v>DFIPL Purchase</v>
          </cell>
        </row>
        <row r="128">
          <cell r="F128">
            <v>3061070</v>
          </cell>
          <cell r="G128" t="str">
            <v>Done</v>
          </cell>
          <cell r="H128">
            <v>44972</v>
          </cell>
          <cell r="I128">
            <v>45702</v>
          </cell>
          <cell r="J128">
            <v>45870</v>
          </cell>
          <cell r="K128">
            <v>-168</v>
          </cell>
          <cell r="L128" t="str">
            <v>Expired</v>
          </cell>
          <cell r="M128">
            <v>16</v>
          </cell>
          <cell r="N128">
            <v>1</v>
          </cell>
          <cell r="O128">
            <v>16</v>
          </cell>
          <cell r="P128" t="str">
            <v>SGRE</v>
          </cell>
          <cell r="Q128" t="str">
            <v>DFIPL Purchase</v>
          </cell>
        </row>
        <row r="129">
          <cell r="F129">
            <v>3014769</v>
          </cell>
          <cell r="G129" t="str">
            <v>Done</v>
          </cell>
          <cell r="H129">
            <v>44916</v>
          </cell>
          <cell r="I129">
            <v>46376</v>
          </cell>
          <cell r="J129">
            <v>45870</v>
          </cell>
          <cell r="K129">
            <v>506</v>
          </cell>
          <cell r="L129" t="str">
            <v>Not Expired</v>
          </cell>
          <cell r="M129">
            <v>18.2</v>
          </cell>
          <cell r="N129">
            <v>1</v>
          </cell>
          <cell r="O129">
            <v>18.2</v>
          </cell>
          <cell r="P129" t="str">
            <v>SGRE</v>
          </cell>
          <cell r="Q129" t="str">
            <v>DFIPL Purchase</v>
          </cell>
        </row>
        <row r="130">
          <cell r="F130">
            <v>3178665</v>
          </cell>
          <cell r="G130" t="str">
            <v>Done</v>
          </cell>
          <cell r="H130">
            <v>45091</v>
          </cell>
          <cell r="I130">
            <v>46003</v>
          </cell>
          <cell r="J130">
            <v>45870</v>
          </cell>
          <cell r="K130">
            <v>133</v>
          </cell>
          <cell r="L130" t="str">
            <v>Not Expired</v>
          </cell>
          <cell r="M130">
            <v>16</v>
          </cell>
          <cell r="N130">
            <v>1</v>
          </cell>
          <cell r="O130">
            <v>16</v>
          </cell>
          <cell r="P130" t="str">
            <v>SGRE</v>
          </cell>
          <cell r="Q130" t="str">
            <v>DFIPL Purchase</v>
          </cell>
        </row>
        <row r="131">
          <cell r="F131">
            <v>3178665</v>
          </cell>
          <cell r="G131" t="str">
            <v>Done</v>
          </cell>
          <cell r="H131">
            <v>45091</v>
          </cell>
          <cell r="I131">
            <v>46003</v>
          </cell>
          <cell r="J131">
            <v>45870</v>
          </cell>
          <cell r="K131">
            <v>133</v>
          </cell>
          <cell r="L131" t="str">
            <v>Not Expired</v>
          </cell>
          <cell r="M131">
            <v>4</v>
          </cell>
          <cell r="N131">
            <v>15</v>
          </cell>
          <cell r="O131">
            <v>60</v>
          </cell>
          <cell r="P131" t="str">
            <v>SGRE</v>
          </cell>
          <cell r="Q131" t="str">
            <v>DFIPL Purchase</v>
          </cell>
        </row>
        <row r="132">
          <cell r="F132">
            <v>3791457</v>
          </cell>
          <cell r="G132" t="str">
            <v>Done</v>
          </cell>
          <cell r="H132">
            <v>45666</v>
          </cell>
          <cell r="I132">
            <v>47126</v>
          </cell>
          <cell r="J132">
            <v>45870</v>
          </cell>
          <cell r="K132">
            <v>1256</v>
          </cell>
          <cell r="L132" t="str">
            <v>Not Expired</v>
          </cell>
          <cell r="M132">
            <v>16</v>
          </cell>
          <cell r="N132">
            <v>1</v>
          </cell>
          <cell r="O132">
            <v>16</v>
          </cell>
          <cell r="P132" t="str">
            <v>SGRE</v>
          </cell>
          <cell r="Q132" t="str">
            <v>DFIPL Purchase</v>
          </cell>
        </row>
        <row r="133">
          <cell r="F133">
            <v>3791457</v>
          </cell>
          <cell r="G133" t="str">
            <v>Done</v>
          </cell>
          <cell r="H133">
            <v>45666</v>
          </cell>
          <cell r="I133">
            <v>47126</v>
          </cell>
          <cell r="J133">
            <v>45870</v>
          </cell>
          <cell r="K133">
            <v>1256</v>
          </cell>
          <cell r="L133" t="str">
            <v>Not Expired</v>
          </cell>
          <cell r="M133">
            <v>16.7</v>
          </cell>
          <cell r="N133">
            <v>1</v>
          </cell>
          <cell r="O133">
            <v>16.7</v>
          </cell>
          <cell r="P133" t="str">
            <v>SGRE</v>
          </cell>
          <cell r="Q133" t="str">
            <v>DFIPL Purchase</v>
          </cell>
        </row>
        <row r="134">
          <cell r="F134">
            <v>2415759</v>
          </cell>
          <cell r="G134" t="str">
            <v>done</v>
          </cell>
          <cell r="H134">
            <v>44230</v>
          </cell>
          <cell r="I134">
            <v>45690</v>
          </cell>
          <cell r="J134">
            <v>45870</v>
          </cell>
          <cell r="K134">
            <v>-180</v>
          </cell>
          <cell r="L134" t="str">
            <v>Expired</v>
          </cell>
          <cell r="M134">
            <v>16</v>
          </cell>
          <cell r="N134">
            <v>1</v>
          </cell>
          <cell r="O134">
            <v>16</v>
          </cell>
          <cell r="P134" t="str">
            <v>SGRE</v>
          </cell>
          <cell r="Q134" t="str">
            <v>DFIPL Purchase</v>
          </cell>
        </row>
        <row r="135">
          <cell r="F135">
            <v>3785011</v>
          </cell>
          <cell r="G135" t="str">
            <v>Done</v>
          </cell>
          <cell r="H135">
            <v>45660</v>
          </cell>
          <cell r="I135">
            <v>46390</v>
          </cell>
          <cell r="J135">
            <v>45870</v>
          </cell>
          <cell r="K135">
            <v>520</v>
          </cell>
          <cell r="L135" t="str">
            <v>Not Expired</v>
          </cell>
          <cell r="M135">
            <v>16</v>
          </cell>
          <cell r="N135">
            <v>20</v>
          </cell>
          <cell r="O135">
            <v>320</v>
          </cell>
          <cell r="P135" t="str">
            <v>SGRE</v>
          </cell>
          <cell r="Q135" t="str">
            <v>DFIPL Purchase</v>
          </cell>
        </row>
        <row r="136">
          <cell r="F136">
            <v>3773005</v>
          </cell>
          <cell r="G136" t="str">
            <v>Done</v>
          </cell>
          <cell r="H136">
            <v>45645</v>
          </cell>
          <cell r="I136">
            <v>45834</v>
          </cell>
          <cell r="J136">
            <v>45870</v>
          </cell>
          <cell r="K136">
            <v>-36</v>
          </cell>
          <cell r="L136" t="str">
            <v>Expired</v>
          </cell>
          <cell r="M136">
            <v>8</v>
          </cell>
          <cell r="N136">
            <v>3</v>
          </cell>
          <cell r="O136">
            <v>24</v>
          </cell>
          <cell r="P136" t="str">
            <v>SGRE</v>
          </cell>
          <cell r="Q136" t="str">
            <v>DFIPL Purchase</v>
          </cell>
        </row>
        <row r="137">
          <cell r="F137">
            <v>3786218</v>
          </cell>
          <cell r="G137" t="str">
            <v>Done</v>
          </cell>
          <cell r="H137">
            <v>45663</v>
          </cell>
          <cell r="I137">
            <v>47123</v>
          </cell>
          <cell r="J137">
            <v>45870</v>
          </cell>
          <cell r="K137">
            <v>1253</v>
          </cell>
          <cell r="L137" t="str">
            <v>Not Expired</v>
          </cell>
          <cell r="M137">
            <v>2.6</v>
          </cell>
          <cell r="N137">
            <v>3</v>
          </cell>
          <cell r="O137">
            <v>7.8000000000000007</v>
          </cell>
          <cell r="P137" t="str">
            <v>SGRE</v>
          </cell>
          <cell r="Q137" t="str">
            <v>DFIPL Purchase</v>
          </cell>
        </row>
        <row r="138">
          <cell r="F138">
            <v>3628944</v>
          </cell>
          <cell r="G138" t="str">
            <v>Done</v>
          </cell>
          <cell r="H138">
            <v>45537</v>
          </cell>
          <cell r="I138">
            <v>46997</v>
          </cell>
          <cell r="J138">
            <v>45870</v>
          </cell>
          <cell r="K138">
            <v>1127</v>
          </cell>
          <cell r="L138" t="str">
            <v>Not Expired</v>
          </cell>
          <cell r="M138">
            <v>16.7</v>
          </cell>
          <cell r="N138">
            <v>2</v>
          </cell>
          <cell r="O138">
            <v>33.4</v>
          </cell>
          <cell r="P138" t="str">
            <v>SGRE</v>
          </cell>
          <cell r="Q138" t="str">
            <v>DFIPL Purchase</v>
          </cell>
        </row>
        <row r="139">
          <cell r="F139">
            <v>2866745</v>
          </cell>
          <cell r="G139" t="str">
            <v>Done</v>
          </cell>
          <cell r="H139">
            <v>44753</v>
          </cell>
          <cell r="I139">
            <v>46213</v>
          </cell>
          <cell r="J139">
            <v>45870</v>
          </cell>
          <cell r="K139">
            <v>343</v>
          </cell>
          <cell r="L139" t="str">
            <v>Not Expired</v>
          </cell>
          <cell r="M139">
            <v>1.8</v>
          </cell>
          <cell r="N139">
            <v>18</v>
          </cell>
          <cell r="O139">
            <v>32.4</v>
          </cell>
          <cell r="P139" t="str">
            <v>SGRE</v>
          </cell>
          <cell r="Q139" t="str">
            <v>DFIPL Purchase</v>
          </cell>
        </row>
        <row r="140">
          <cell r="F140">
            <v>2829592</v>
          </cell>
          <cell r="G140" t="str">
            <v>Done</v>
          </cell>
          <cell r="H140">
            <v>44713</v>
          </cell>
          <cell r="I140">
            <v>46173</v>
          </cell>
          <cell r="J140">
            <v>45870</v>
          </cell>
          <cell r="K140">
            <v>303</v>
          </cell>
          <cell r="L140" t="str">
            <v>Not Expired</v>
          </cell>
          <cell r="M140">
            <v>1.8</v>
          </cell>
          <cell r="N140">
            <v>2</v>
          </cell>
          <cell r="O140">
            <v>3.6</v>
          </cell>
          <cell r="P140" t="str">
            <v>SGRE</v>
          </cell>
          <cell r="Q140" t="str">
            <v>DFIPL Purchase</v>
          </cell>
        </row>
        <row r="141">
          <cell r="F141">
            <v>3113974</v>
          </cell>
          <cell r="G141" t="str">
            <v>Done</v>
          </cell>
          <cell r="H141">
            <v>45023</v>
          </cell>
          <cell r="I141">
            <v>46483</v>
          </cell>
          <cell r="J141">
            <v>45870</v>
          </cell>
          <cell r="K141">
            <v>613</v>
          </cell>
          <cell r="L141" t="str">
            <v>Not Expired</v>
          </cell>
          <cell r="M141">
            <v>1.8</v>
          </cell>
          <cell r="N141">
            <v>3</v>
          </cell>
          <cell r="O141">
            <v>5.4</v>
          </cell>
          <cell r="P141" t="str">
            <v>SGRE</v>
          </cell>
          <cell r="Q141" t="str">
            <v>DFIPL Purchase</v>
          </cell>
        </row>
        <row r="142">
          <cell r="F142">
            <v>3021816</v>
          </cell>
          <cell r="G142" t="str">
            <v>Done</v>
          </cell>
          <cell r="H142">
            <v>44925</v>
          </cell>
          <cell r="I142">
            <v>46385</v>
          </cell>
          <cell r="J142">
            <v>45870</v>
          </cell>
          <cell r="K142">
            <v>515</v>
          </cell>
          <cell r="L142" t="str">
            <v>Not Expired</v>
          </cell>
          <cell r="M142">
            <v>1.8</v>
          </cell>
          <cell r="N142">
            <v>3</v>
          </cell>
          <cell r="O142">
            <v>5.4</v>
          </cell>
          <cell r="P142" t="str">
            <v>SGRE</v>
          </cell>
          <cell r="Q142" t="str">
            <v>DFIPL Purchase</v>
          </cell>
        </row>
        <row r="143">
          <cell r="F143">
            <v>3157411</v>
          </cell>
          <cell r="G143" t="str">
            <v>Done</v>
          </cell>
          <cell r="H143">
            <v>45070</v>
          </cell>
          <cell r="I143">
            <v>46530</v>
          </cell>
          <cell r="J143">
            <v>45870</v>
          </cell>
          <cell r="K143">
            <v>660</v>
          </cell>
          <cell r="L143" t="str">
            <v>Not Expired</v>
          </cell>
          <cell r="M143">
            <v>1.8</v>
          </cell>
          <cell r="N143">
            <v>2</v>
          </cell>
          <cell r="O143">
            <v>3.6</v>
          </cell>
          <cell r="P143" t="str">
            <v>SGRE</v>
          </cell>
          <cell r="Q143" t="str">
            <v>DFIPL Purchase</v>
          </cell>
        </row>
        <row r="144">
          <cell r="F144">
            <v>2445230</v>
          </cell>
          <cell r="G144" t="str">
            <v>Done</v>
          </cell>
          <cell r="H144">
            <v>44265</v>
          </cell>
          <cell r="I144">
            <v>45908</v>
          </cell>
          <cell r="J144">
            <v>45870</v>
          </cell>
          <cell r="K144">
            <v>38</v>
          </cell>
          <cell r="L144" t="str">
            <v>Not Expired</v>
          </cell>
          <cell r="M144">
            <v>3.3</v>
          </cell>
          <cell r="N144">
            <v>17</v>
          </cell>
          <cell r="O144">
            <v>56.099999999999994</v>
          </cell>
          <cell r="P144" t="str">
            <v>SGRE</v>
          </cell>
          <cell r="Q144" t="str">
            <v>DFIPL Purchase</v>
          </cell>
        </row>
        <row r="145">
          <cell r="F145">
            <v>3221566</v>
          </cell>
          <cell r="G145" t="str">
            <v>Done</v>
          </cell>
          <cell r="H145">
            <v>45134</v>
          </cell>
          <cell r="I145">
            <v>46594</v>
          </cell>
          <cell r="J145">
            <v>45870</v>
          </cell>
          <cell r="K145">
            <v>724</v>
          </cell>
          <cell r="L145" t="str">
            <v>Not Expired</v>
          </cell>
          <cell r="M145">
            <v>3.3</v>
          </cell>
          <cell r="N145">
            <v>4</v>
          </cell>
          <cell r="O145">
            <v>13.2</v>
          </cell>
          <cell r="P145" t="str">
            <v>SGRE</v>
          </cell>
          <cell r="Q145" t="str">
            <v>DFIPL Purchase</v>
          </cell>
        </row>
        <row r="146">
          <cell r="F146">
            <v>3215909</v>
          </cell>
          <cell r="G146" t="str">
            <v>Done</v>
          </cell>
          <cell r="H146">
            <v>45131</v>
          </cell>
          <cell r="I146">
            <v>45861</v>
          </cell>
          <cell r="J146">
            <v>45870</v>
          </cell>
          <cell r="K146">
            <v>-9</v>
          </cell>
          <cell r="L146" t="str">
            <v>Expired</v>
          </cell>
          <cell r="M146">
            <v>1.8</v>
          </cell>
          <cell r="N146">
            <v>2</v>
          </cell>
          <cell r="O146">
            <v>3.6</v>
          </cell>
          <cell r="P146" t="str">
            <v>SGRE</v>
          </cell>
          <cell r="Q146" t="str">
            <v>DFIPL Purchase</v>
          </cell>
        </row>
        <row r="147">
          <cell r="F147">
            <v>2859331</v>
          </cell>
          <cell r="G147" t="str">
            <v>Done</v>
          </cell>
          <cell r="H147">
            <v>44743</v>
          </cell>
          <cell r="I147">
            <v>45473</v>
          </cell>
          <cell r="J147">
            <v>45870</v>
          </cell>
          <cell r="K147">
            <v>-397</v>
          </cell>
          <cell r="L147" t="str">
            <v>Expired</v>
          </cell>
          <cell r="M147">
            <v>2.25</v>
          </cell>
          <cell r="N147">
            <v>2</v>
          </cell>
          <cell r="O147">
            <v>4.5</v>
          </cell>
          <cell r="P147" t="str">
            <v>SGRE</v>
          </cell>
          <cell r="Q147" t="str">
            <v>DFIPL Purchase</v>
          </cell>
        </row>
        <row r="148">
          <cell r="F148">
            <v>2566122</v>
          </cell>
          <cell r="G148" t="str">
            <v>done</v>
          </cell>
          <cell r="H148">
            <v>44411</v>
          </cell>
          <cell r="I148">
            <v>45871</v>
          </cell>
          <cell r="J148">
            <v>45870</v>
          </cell>
          <cell r="K148">
            <v>1</v>
          </cell>
          <cell r="L148" t="str">
            <v>Not Expired</v>
          </cell>
          <cell r="M148">
            <v>20</v>
          </cell>
          <cell r="N148">
            <v>1</v>
          </cell>
          <cell r="O148">
            <v>20</v>
          </cell>
          <cell r="P148" t="str">
            <v>SGRE</v>
          </cell>
          <cell r="Q148" t="str">
            <v>DFIPL Purchase</v>
          </cell>
        </row>
        <row r="149">
          <cell r="F149">
            <v>3249888</v>
          </cell>
          <cell r="G149" t="str">
            <v>Done</v>
          </cell>
          <cell r="H149">
            <v>45163</v>
          </cell>
          <cell r="I149">
            <v>45893</v>
          </cell>
          <cell r="J149">
            <v>45870</v>
          </cell>
          <cell r="K149">
            <v>23</v>
          </cell>
          <cell r="L149" t="str">
            <v>Not Expired</v>
          </cell>
          <cell r="M149">
            <v>4</v>
          </cell>
          <cell r="N149">
            <v>9</v>
          </cell>
          <cell r="O149">
            <v>36</v>
          </cell>
          <cell r="P149" t="str">
            <v>SGRE</v>
          </cell>
          <cell r="Q149" t="str">
            <v>DFIPL Purchase</v>
          </cell>
        </row>
        <row r="150">
          <cell r="F150">
            <v>3231239</v>
          </cell>
          <cell r="G150" t="str">
            <v>Done</v>
          </cell>
          <cell r="H150" t="e">
            <v>#N/A</v>
          </cell>
          <cell r="I150" t="e">
            <v>#N/A</v>
          </cell>
          <cell r="J150">
            <v>45870</v>
          </cell>
          <cell r="K150" t="e">
            <v>#N/A</v>
          </cell>
          <cell r="L150" t="e">
            <v>#N/A</v>
          </cell>
          <cell r="M150">
            <v>4</v>
          </cell>
          <cell r="N150">
            <v>1</v>
          </cell>
          <cell r="O150">
            <v>4</v>
          </cell>
          <cell r="P150" t="str">
            <v>SGRE</v>
          </cell>
          <cell r="Q150" t="str">
            <v>DFIPL Purchase</v>
          </cell>
        </row>
        <row r="151">
          <cell r="F151">
            <v>3178665</v>
          </cell>
          <cell r="G151" t="str">
            <v>Done</v>
          </cell>
          <cell r="H151">
            <v>45091</v>
          </cell>
          <cell r="I151">
            <v>46003</v>
          </cell>
          <cell r="J151">
            <v>45870</v>
          </cell>
          <cell r="K151">
            <v>133</v>
          </cell>
          <cell r="L151" t="str">
            <v>Not Expired</v>
          </cell>
          <cell r="M151">
            <v>4</v>
          </cell>
          <cell r="N151">
            <v>1</v>
          </cell>
          <cell r="O151">
            <v>4</v>
          </cell>
          <cell r="P151" t="str">
            <v>SGRE</v>
          </cell>
          <cell r="Q151" t="str">
            <v>DFIPL Purchase</v>
          </cell>
        </row>
        <row r="152">
          <cell r="F152">
            <v>2853805</v>
          </cell>
          <cell r="G152" t="str">
            <v>Done</v>
          </cell>
          <cell r="H152">
            <v>44739</v>
          </cell>
          <cell r="I152">
            <v>45469</v>
          </cell>
          <cell r="J152">
            <v>45870</v>
          </cell>
          <cell r="K152">
            <v>-401</v>
          </cell>
          <cell r="L152" t="str">
            <v>Expired</v>
          </cell>
          <cell r="M152">
            <v>4</v>
          </cell>
          <cell r="N152">
            <v>1</v>
          </cell>
          <cell r="O152">
            <v>4</v>
          </cell>
          <cell r="P152" t="str">
            <v>SGRE</v>
          </cell>
          <cell r="Q152" t="str">
            <v>DFIPL Purchase</v>
          </cell>
        </row>
        <row r="153">
          <cell r="F153">
            <v>2811085</v>
          </cell>
          <cell r="G153" t="str">
            <v>Done</v>
          </cell>
          <cell r="H153">
            <v>44692</v>
          </cell>
          <cell r="I153">
            <v>45422</v>
          </cell>
          <cell r="J153">
            <v>45870</v>
          </cell>
          <cell r="K153">
            <v>-448</v>
          </cell>
          <cell r="L153" t="str">
            <v>Expired</v>
          </cell>
          <cell r="M153">
            <v>4</v>
          </cell>
          <cell r="N153">
            <v>1</v>
          </cell>
          <cell r="O153">
            <v>4</v>
          </cell>
          <cell r="P153" t="str">
            <v>SGRE</v>
          </cell>
          <cell r="Q153" t="str">
            <v>DFIPL Purchase</v>
          </cell>
        </row>
        <row r="154">
          <cell r="F154">
            <v>3936078</v>
          </cell>
          <cell r="G154" t="str">
            <v>Done</v>
          </cell>
          <cell r="H154">
            <v>45807</v>
          </cell>
          <cell r="I154">
            <v>46527</v>
          </cell>
          <cell r="J154">
            <v>45870</v>
          </cell>
          <cell r="K154">
            <v>657</v>
          </cell>
          <cell r="L154" t="str">
            <v>Not Expired</v>
          </cell>
          <cell r="M154">
            <v>7.5</v>
          </cell>
          <cell r="N154">
            <v>19</v>
          </cell>
          <cell r="O154">
            <v>142.5</v>
          </cell>
          <cell r="P154" t="str">
            <v>Welspun</v>
          </cell>
          <cell r="Q154" t="str">
            <v>DFIPL Purchase</v>
          </cell>
        </row>
        <row r="155">
          <cell r="F155">
            <v>3794316</v>
          </cell>
          <cell r="G155" t="str">
            <v>Done</v>
          </cell>
          <cell r="H155">
            <v>45668</v>
          </cell>
          <cell r="I155">
            <v>46398</v>
          </cell>
          <cell r="J155">
            <v>45870</v>
          </cell>
          <cell r="K155">
            <v>528</v>
          </cell>
          <cell r="L155" t="str">
            <v>Not Expired</v>
          </cell>
          <cell r="M155">
            <v>1.25</v>
          </cell>
          <cell r="N155">
            <v>19</v>
          </cell>
          <cell r="O155">
            <v>23.75</v>
          </cell>
          <cell r="P155" t="str">
            <v>Welspun</v>
          </cell>
          <cell r="Q155" t="str">
            <v>DFIPL Purchase</v>
          </cell>
        </row>
      </sheetData>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ore" refreshedDate="45874.716973958333" createdVersion="8" refreshedVersion="8" minRefreshableVersion="3" recordCount="227" xr:uid="{8B1F4AC3-5CAD-44E9-A600-46C896686564}">
  <cacheSource type="worksheet">
    <worksheetSource ref="A2:AB1048576" sheet="Working"/>
  </cacheSource>
  <cacheFields count="26">
    <cacheField name="Sr. No" numFmtId="0">
      <sharedItems containsString="0" containsBlank="1" containsNumber="1" containsInteger="1" minValue="1" maxValue="226"/>
    </cacheField>
    <cacheField name="ICD" numFmtId="0">
      <sharedItems containsBlank="1"/>
    </cacheField>
    <cacheField name="Material Description" numFmtId="0">
      <sharedItems containsBlank="1"/>
    </cacheField>
    <cacheField name="Part No" numFmtId="0">
      <sharedItems containsBlank="1"/>
    </cacheField>
    <cacheField name="UOM" numFmtId="0">
      <sharedItems containsBlank="1"/>
    </cacheField>
    <cacheField name="Tin/Ltr" numFmtId="0">
      <sharedItems containsString="0" containsBlank="1" containsNumber="1" minValue="0.45" maxValue="20"/>
    </cacheField>
    <cacheField name="No. Of Tins" numFmtId="0">
      <sharedItems containsString="0" containsBlank="1" containsNumber="1" containsInteger="1" minValue="0" maxValue="236"/>
    </cacheField>
    <cacheField name="Total Ltr Qty" numFmtId="0">
      <sharedItems containsString="0" containsBlank="1" containsNumber="1" minValue="0" maxValue="2608"/>
    </cacheField>
    <cacheField name="Issue Tin Qty" numFmtId="0">
      <sharedItems containsString="0" containsBlank="1" containsNumber="1" containsInteger="1" minValue="1" maxValue="101"/>
    </cacheField>
    <cacheField name="Issue Ltr Qty" numFmtId="0">
      <sharedItems containsString="0" containsBlank="1" containsNumber="1" minValue="0" maxValue="1488"/>
    </cacheField>
    <cacheField name="Balance Qty" numFmtId="0">
      <sharedItems containsString="0" containsBlank="1" containsNumber="1" minValue="0" maxValue="2048"/>
    </cacheField>
    <cacheField name="Remark" numFmtId="0">
      <sharedItems containsBlank="1"/>
    </cacheField>
    <cacheField name="Batch No" numFmtId="0">
      <sharedItems containsBlank="1" containsMixedTypes="1" containsNumber="1" containsInteger="1" minValue="2415759" maxValue="605040253"/>
    </cacheField>
    <cacheField name="Client" numFmtId="0">
      <sharedItems containsBlank="1" count="12">
        <s v="Ayana "/>
        <s v="SGRE"/>
        <s v="COMMON USE"/>
        <s v="Thermax"/>
        <s v="Renew"/>
        <s v="Senvion"/>
        <s v="Adani"/>
        <s v="INOX"/>
        <s v="ACME 2.O"/>
        <s v="Welspun"/>
        <s v="ACME"/>
        <m/>
      </sharedItems>
    </cacheField>
    <cacheField name="Container No." numFmtId="0">
      <sharedItems containsString="0" containsBlank="1" containsNumber="1" containsInteger="1" minValue="1" maxValue="4"/>
    </cacheField>
    <cacheField name="MFG Date" numFmtId="0">
      <sharedItems containsNonDate="0" containsDate="1" containsString="0" containsBlank="1" minDate="2020-01-01T00:00:00" maxDate="2025-06-27T00:00:00"/>
    </cacheField>
    <cacheField name="Expiry Date" numFmtId="0">
      <sharedItems containsNonDate="0" containsDate="1" containsString="0" containsBlank="1" minDate="2022-01-01T00:00:00" maxDate="2030-06-06T00:00:00"/>
    </cacheField>
    <cacheField name="Today Date" numFmtId="0">
      <sharedItems containsNonDate="0" containsDate="1" containsString="0" containsBlank="1" minDate="2025-08-01T00:00:00" maxDate="2025-08-06T00:00:00"/>
    </cacheField>
    <cacheField name="Remaining Day left for expiry" numFmtId="4">
      <sharedItems containsString="0" containsBlank="1" containsNumber="1" containsInteger="1" minValue="-45874" maxValue="1765"/>
    </cacheField>
    <cacheField name="Status" numFmtId="4">
      <sharedItems containsBlank="1" count="3">
        <s v="Expired"/>
        <s v="Not Expired"/>
        <m/>
      </sharedItems>
    </cacheField>
    <cacheField name="Final Remarks" numFmtId="4">
      <sharedItems containsBlank="1" count="5">
        <s v="Expired more than 45 Days"/>
        <s v="Recently Expired within 45 Days ago"/>
        <s v="Not Expire"/>
        <s v="Will be Expire within 45 Days"/>
        <m/>
      </sharedItems>
    </cacheField>
    <cacheField name="Procure" numFmtId="4">
      <sharedItems containsBlank="1"/>
    </cacheField>
    <cacheField name="PO No" numFmtId="4">
      <sharedItems containsBlank="1"/>
    </cacheField>
    <cacheField name="Remarks" numFmtId="0">
      <sharedItems containsBlank="1"/>
    </cacheField>
    <cacheField name="Out/system" numFmtId="0">
      <sharedItems containsBlank="1"/>
    </cacheField>
    <cacheField name="TOWER NO. SECTION NO. "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bhav Sharma" refreshedDate="45898.735946527777" createdVersion="8" refreshedVersion="8" minRefreshableVersion="3" recordCount="227" xr:uid="{E3A3F58F-B02A-4FA6-B4D5-9C8FB81DDCD6}">
  <cacheSource type="worksheet">
    <worksheetSource ref="A2:AB229" sheet="Working"/>
  </cacheSource>
  <cacheFields count="26">
    <cacheField name="Sr. No" numFmtId="0">
      <sharedItems containsString="0" containsBlank="1" containsNumber="1" containsInteger="1" minValue="1" maxValue="226"/>
    </cacheField>
    <cacheField name="ICD" numFmtId="0">
      <sharedItems containsBlank="1" count="97">
        <s v="Paint Barrier 80 Part A"/>
        <s v="Jotun Thinner No-25"/>
        <s v="Paint Barrier 80 Part B"/>
        <s v="Thinner GTA 803"/>
        <s v="Penguard Express Gray Part A (16 Ltr)"/>
        <s v="Paint Penguard Express CF RAL 1013 Part A"/>
        <s v="Penguard Express Grey Part B (4 Ltr)"/>
        <s v="Interguard 475HS Ral Tropical"/>
        <s v="Interprime 198 CPA 098"/>
        <s v="Interlac 665 Ral 1017CLS179"/>
        <s v="Interguard 475HS Ral 7035"/>
        <s v="Paint Penguard Express CF RAL 1013 Part B"/>
        <s v="Interthane 990"/>
        <s v="Barrier 80X A"/>
        <s v="Hempaprime multi 500 A"/>
        <s v="Jotun Thinner No.17"/>
        <s v="OC2 JotaMastic 80 Grey Part A"/>
        <s v="ACME Paint Hardtop XP, Part A Black Ral-9005"/>
        <s v="Hardtop WT8 RAL 9018 A 16.7"/>
        <s v="Hempathane HS 55610 A 9002"/>
        <s v="Penguard Express Ral 9018 (Part A)"/>
        <s v="Hardtop XP 1021 A"/>
        <s v="Hempaprime multi 5561B 7035"/>
        <s v="Penguard Exp. Gray "/>
        <s v="Paint Resisit 86 Part A 8"/>
        <s v="Penguard Exp. 9018 A"/>
        <s v="Hempaprime Core 500 (47680) 9018 Part - A, Pack Size -16.4Ltrs."/>
        <s v="Hempaprime Core 500 (47680) 9018 Part - B, Pack Size -3.6Ltrs."/>
        <s v="Hempaprime Core 500 (47680), Grey Part -B, Pack Size -3.6Ltrs."/>
        <s v="Hardtop WT8 RAL 9018 B 3.3"/>
        <s v="Hemapadur avantagard 750"/>
        <s v="Hardtop XP Comp A RAL9018"/>
        <s v="Hempaprime Core 500 (47680), Grey Part -A , Pack Size -16.4Ltrs."/>
        <s v="Hemal curring Agent 95090"/>
        <s v="Hardtop XP Comp B RAL 9018"/>
        <s v="Ayana Paint Hardtop XP, Part B Hyacinth Blue Ral-2804045"/>
        <s v="Hempal Curing Agent 95070 B"/>
        <s v="Hempal Curing Agent 95090 B"/>
        <s v="Hempal Curing Agent 97050 B"/>
        <s v="Hardtop XP Comp A RAL 6029 Mint Green - 18.174 Ltrs."/>
        <s v="ACME Paint Hardtop XP, Part B Perky Blue Ral-5015"/>
        <s v="Hempathane HS 55610 A"/>
        <s v="Senvion HARDTOP XP RAL 9002 A 18.2L"/>
        <s v="Hempal Curing Agent 95043 B"/>
        <s v="Senvion HARDTOP XP RAL 7035 A 18.2L"/>
        <s v="Hardtop XP Comp B RAL 6029 Mint Green - 1.80 Ltrs."/>
        <s v="Hempal Curing Agent 97043 B"/>
        <s v="Renew HARDTOP WT8 RAL 7035 A 4.17 L"/>
        <s v="Renew HARDTOP WT8 RAL 7035 B 0.83 L"/>
        <s v="Paint Penguard Express RAL 7035 Comp A"/>
        <s v="Senvion /Renew Hardtop WT8 RAL 7035 Part B"/>
        <s v="Jotun Thinner No.10"/>
        <s v="Penguard Express Ral 9018 (Part B)"/>
        <s v="Paint Penguard Express RAL 7035 Comp. B"/>
        <s v="Hardtop WT8 7035"/>
        <s v="Hardtop XP Com B 7035"/>
        <s v="ACME Paint Hardtop XP, Part A Perky Blue Ral-5015"/>
        <s v="Renew HARDTOP XPF RAL 7035 B 0.45 L"/>
        <s v="Thinner 8450"/>
        <s v="Ayana Paint Hardtop XP, Part A Oregano Green Ral-1406060"/>
        <s v="Ayana Paint Hardtop XP, Part A Hyacinth Blue Ral-2804045"/>
        <s v="HARDTOP WT8 RAL 7035 B 3.3 Ltr"/>
        <s v="HARDTOP WT8 RAL 7035 A (16.7 Ltr)"/>
        <s v="Penguard Universal 7035 A"/>
        <s v="Penguard Universal 7035 &amp; Gray"/>
        <s v="Thinner No.10"/>
        <s v="Thinner No.17"/>
        <s v="Hardtop XP804 HR Night Blue B"/>
        <s v="OC2 JOTUN ZINC 100, B 2.6L"/>
        <s v="Hardtop XP 2009"/>
        <s v="Hardtop XP804 HR Night Blue"/>
        <s v="Hardtop XP 7035"/>
        <s v="Penguard Universal Gray A"/>
        <s v="Hardtop XP II RAL 9003 Part A 16.02Ltrs."/>
        <s v="Hardtop XP Comp A RAL 2009 Traffic Orange - 16.807 Ltrs."/>
        <s v="Hardtop XP Comp B RAL 2009 Traffic Orange"/>
        <s v="ACME Paint Hardtop XP, Part A Pure Red Ral-3028"/>
        <s v="Hardtop XP II RAL 9003 Part B 2.2Ltrs."/>
        <s v="Hardtop XP RAL 5013  Part A"/>
        <s v="Hardtop XP Comp A RAL 2009 Traffic Orange"/>
        <s v="Thinner 8450, Pack size :- 20Ltrs."/>
        <s v="Thinner 8080"/>
        <s v="Thinner 8080, Pack size :- 20Ltrs."/>
        <s v="Hempathane HS 55610 (RAL 2009), Part -A, Pack Size -17.5Ltrs."/>
        <s v="Hempathane HS 55610 (RAL 2009), Part -B, Pack Size -2.5Ltrs."/>
        <s v="Hempathane 55610, 7035 Part -A, Pack Size -17.5Ltrs."/>
        <s v="Hempathane 55610, 7035 Part -B, Pack Size -2.5Ltrs."/>
        <s v="Avantaguard 750 A"/>
        <s v="ACME Paint Hardtop XP, Part B Black Ral-9005"/>
        <s v="Ayana Paint Hardtop XP, Part B Oregano Green Ral-1406060"/>
        <s v="ACME Paint Hardtop XP, Part B Pure Red Ral-3028"/>
        <s v="Hardtop XP RAL 5013  Part B"/>
        <s v="Hardtop WT8 7035 B"/>
        <m/>
        <e v="#N/A" u="1"/>
        <s v="Jotun Thinner 17" u="1"/>
        <s v="Jotun Thinner 17 " u="1"/>
      </sharedItems>
    </cacheField>
    <cacheField name="Material Description" numFmtId="0">
      <sharedItems containsBlank="1"/>
    </cacheField>
    <cacheField name="Part No" numFmtId="0">
      <sharedItems containsBlank="1"/>
    </cacheField>
    <cacheField name="UOM" numFmtId="0">
      <sharedItems containsBlank="1"/>
    </cacheField>
    <cacheField name="Tin/Ltr" numFmtId="0">
      <sharedItems containsString="0" containsBlank="1" containsNumber="1" minValue="0.45" maxValue="20"/>
    </cacheField>
    <cacheField name="No. Of Tins" numFmtId="0">
      <sharedItems containsString="0" containsBlank="1" containsNumber="1" containsInteger="1" minValue="0" maxValue="236"/>
    </cacheField>
    <cacheField name="Total Ltr Qty" numFmtId="0">
      <sharedItems containsString="0" containsBlank="1" containsNumber="1" minValue="0" maxValue="2608"/>
    </cacheField>
    <cacheField name="Issue Tin Qty" numFmtId="0">
      <sharedItems containsBlank="1" containsMixedTypes="1" containsNumber="1" containsInteger="1" minValue="1" maxValue="218"/>
    </cacheField>
    <cacheField name="Issue Ltr Qty" numFmtId="0">
      <sharedItems containsString="0" containsBlank="1" containsNumber="1" minValue="0" maxValue="2496"/>
    </cacheField>
    <cacheField name="Balance Qty" numFmtId="0">
      <sharedItems containsString="0" containsBlank="1" containsNumber="1" minValue="-100" maxValue="2048"/>
    </cacheField>
    <cacheField name="Remark" numFmtId="0">
      <sharedItems containsBlank="1"/>
    </cacheField>
    <cacheField name="Batch No" numFmtId="0">
      <sharedItems containsBlank="1" containsMixedTypes="1" containsNumber="1" containsInteger="1" minValue="2415759" maxValue="605040253"/>
    </cacheField>
    <cacheField name="Client" numFmtId="0">
      <sharedItems containsBlank="1"/>
    </cacheField>
    <cacheField name="Container No." numFmtId="0">
      <sharedItems containsString="0" containsBlank="1" containsNumber="1" containsInteger="1" minValue="1" maxValue="4"/>
    </cacheField>
    <cacheField name="MFG Date" numFmtId="0">
      <sharedItems containsNonDate="0" containsDate="1" containsString="0" containsBlank="1" minDate="2020-01-01T00:00:00" maxDate="2025-06-27T00:00:00"/>
    </cacheField>
    <cacheField name="Expiry Date" numFmtId="0">
      <sharedItems containsNonDate="0" containsDate="1" containsString="0" containsBlank="1" minDate="2022-01-01T00:00:00" maxDate="2030-06-06T00:00:00"/>
    </cacheField>
    <cacheField name="Today Date" numFmtId="0">
      <sharedItems containsNonDate="0" containsDate="1" containsString="0" containsBlank="1" minDate="2025-07-30T00:00:00" maxDate="2025-07-31T00:00:00"/>
    </cacheField>
    <cacheField name="Remaining Day left for expiry" numFmtId="4">
      <sharedItems containsString="0" containsBlank="1" containsNumber="1" containsInteger="1" minValue="-1306" maxValue="1771"/>
    </cacheField>
    <cacheField name="Status" numFmtId="4">
      <sharedItems containsBlank="1" count="3">
        <s v="Expired"/>
        <s v="Not Expired"/>
        <m/>
      </sharedItems>
    </cacheField>
    <cacheField name="Final Remarks" numFmtId="4">
      <sharedItems containsBlank="1"/>
    </cacheField>
    <cacheField name="Procure" numFmtId="4">
      <sharedItems containsBlank="1" count="4">
        <s v="DFIPL Purchase"/>
        <s v="Customer"/>
        <e v="#N/A"/>
        <m/>
      </sharedItems>
    </cacheField>
    <cacheField name="PO No" numFmtId="4">
      <sharedItems containsBlank="1"/>
    </cacheField>
    <cacheField name="Remarks" numFmtId="0">
      <sharedItems containsBlank="1"/>
    </cacheField>
    <cacheField name="Out/system" numFmtId="0">
      <sharedItems containsBlank="1"/>
    </cacheField>
    <cacheField name="TOWER NO. SECTION NO. "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n v="55"/>
    <s v="Paint Barrier 80 Part A"/>
    <s v="Barrier 80 Comp A"/>
    <s v="A"/>
    <s v="L"/>
    <n v="6.75"/>
    <n v="1"/>
    <n v="6.75"/>
    <m/>
    <n v="0"/>
    <n v="6.75"/>
    <s v="done"/>
    <n v="2859306"/>
    <x v="0"/>
    <n v="4"/>
    <d v="2022-07-01T00:00:00"/>
    <d v="2024-06-30T00:00:00"/>
    <d v="2025-08-05T00:00:00"/>
    <n v="-401"/>
    <x v="0"/>
    <x v="0"/>
    <s v="DFIPL Purchase"/>
    <s v="DFIPL Purchase"/>
    <s v="Need to check date from system"/>
    <s v="System"/>
    <m/>
  </r>
  <r>
    <n v="104"/>
    <s v="Jotun Thinner No-25"/>
    <s v="Jotun Thinner No. 25"/>
    <m/>
    <s v="L"/>
    <n v="20"/>
    <n v="1"/>
    <n v="20"/>
    <m/>
    <n v="0"/>
    <n v="20"/>
    <s v="done"/>
    <n v="2566122"/>
    <x v="1"/>
    <n v="4"/>
    <d v="2021-08-03T00:00:00"/>
    <d v="2025-08-02T00:00:00"/>
    <d v="2025-08-05T00:00:00"/>
    <n v="-3"/>
    <x v="0"/>
    <x v="1"/>
    <s v="DFIPL Purchase"/>
    <s v="DFIPL Purchase"/>
    <s v="NEED TO CHECK IN SYSTEM FOR DATE &amp; CLIENT"/>
    <s v="System"/>
    <m/>
  </r>
  <r>
    <n v="117"/>
    <s v="Paint Barrier 80 Part B"/>
    <s v="Barrier 80 Comp. B"/>
    <s v="B"/>
    <s v="L"/>
    <n v="2.25"/>
    <n v="1"/>
    <n v="2.25"/>
    <m/>
    <n v="0"/>
    <n v="2.25"/>
    <s v="done"/>
    <n v="2538093"/>
    <x v="2"/>
    <n v="4"/>
    <d v="2021-06-29T00:00:00"/>
    <d v="2023-06-29T00:00:00"/>
    <d v="2025-08-05T00:00:00"/>
    <n v="-768"/>
    <x v="0"/>
    <x v="0"/>
    <s v="DFIPL Purchase"/>
    <s v="DFIPL Purchase"/>
    <s v="NEED TO CHECK FROM SYSTEM FOR DATE &amp; PROJECT NAME"/>
    <s v="System"/>
    <m/>
  </r>
  <r>
    <n v="53"/>
    <s v="Thinner GTA 803"/>
    <s v="International Thinner GT 803"/>
    <m/>
    <s v="L"/>
    <n v="20"/>
    <n v="1"/>
    <n v="20"/>
    <m/>
    <n v="0"/>
    <n v="20"/>
    <s v="done"/>
    <s v="Q0D000"/>
    <x v="3"/>
    <n v="4"/>
    <d v="2020-01-01T00:00:00"/>
    <d v="2022-01-01T00:00:00"/>
    <d v="2025-08-05T00:00:00"/>
    <n v="-1312"/>
    <x v="0"/>
    <x v="0"/>
    <s v="Customer"/>
    <e v="#N/A"/>
    <s v="own purchased, reason"/>
    <s v="NR"/>
    <m/>
  </r>
  <r>
    <n v="98"/>
    <s v="Penguard Express Gray Part A (16 Ltr)"/>
    <s v="Penguard Express Grey"/>
    <s v="A"/>
    <s v="L"/>
    <n v="16"/>
    <n v="1"/>
    <n v="16"/>
    <m/>
    <n v="0"/>
    <n v="16"/>
    <s v="done"/>
    <n v="2580592"/>
    <x v="0"/>
    <n v="4"/>
    <d v="2021-08-23T00:00:00"/>
    <d v="2023-08-23T00:00:00"/>
    <d v="2025-08-05T00:00:00"/>
    <n v="-713"/>
    <x v="0"/>
    <x v="0"/>
    <s v="DFIPL Purchase"/>
    <s v="DFIPL Purchase"/>
    <m/>
    <s v="NR"/>
    <m/>
  </r>
  <r>
    <n v="56"/>
    <s v="Paint Barrier 80 Part A"/>
    <s v="Paint Barrier 80 Part A"/>
    <s v="A"/>
    <s v="L"/>
    <n v="6.75"/>
    <n v="1"/>
    <n v="6.75"/>
    <m/>
    <n v="0"/>
    <n v="6.75"/>
    <s v="done"/>
    <n v="2582705"/>
    <x v="0"/>
    <n v="4"/>
    <d v="2021-08-24T00:00:00"/>
    <d v="2023-08-24T00:00:00"/>
    <d v="2025-08-05T00:00:00"/>
    <n v="-712"/>
    <x v="0"/>
    <x v="0"/>
    <s v="DFIPL Purchase"/>
    <s v="DFIPL Purchase"/>
    <m/>
    <s v="NR"/>
    <m/>
  </r>
  <r>
    <n v="166"/>
    <s v="Paint Penguard Express CF RAL 1013 Part A"/>
    <s v="Penguard Express CF RAL 1013"/>
    <s v="A"/>
    <s v="L"/>
    <n v="16"/>
    <n v="2"/>
    <n v="32"/>
    <m/>
    <n v="0"/>
    <n v="32"/>
    <s v="done"/>
    <n v="2580915"/>
    <x v="1"/>
    <n v="2"/>
    <d v="2021-08-24T00:00:00"/>
    <d v="2023-08-24T00:00:00"/>
    <d v="2025-08-05T00:00:00"/>
    <n v="-712"/>
    <x v="0"/>
    <x v="0"/>
    <s v="DFIPL Purchase"/>
    <s v="DFIPL Purchase"/>
    <m/>
    <s v="NR"/>
    <m/>
  </r>
  <r>
    <n v="115"/>
    <s v="Penguard Express Grey Part B (4 Ltr)"/>
    <s v="Penguard Express Comp B"/>
    <s v="B"/>
    <s v="L"/>
    <n v="4"/>
    <n v="1"/>
    <n v="4"/>
    <m/>
    <n v="0"/>
    <n v="4"/>
    <s v="done"/>
    <n v="3231239"/>
    <x v="0"/>
    <n v="4"/>
    <d v="2021-08-25T00:00:00"/>
    <d v="2023-08-25T00:00:00"/>
    <d v="2025-08-05T00:00:00"/>
    <n v="-711"/>
    <x v="0"/>
    <x v="0"/>
    <s v="DFIPL Purchase"/>
    <s v="DFIPL Purchase"/>
    <m/>
    <s v="NR"/>
    <m/>
  </r>
  <r>
    <n v="49"/>
    <s v="Interguard 475HS Ral Tropical"/>
    <s v="International Interguard 475 HS"/>
    <s v="B"/>
    <s v="L"/>
    <n v="5"/>
    <n v="2"/>
    <n v="10"/>
    <m/>
    <n v="0"/>
    <n v="10"/>
    <s v="done"/>
    <s v="Q0D2354053"/>
    <x v="3"/>
    <n v="4"/>
    <d v="2022-12-01T00:00:00"/>
    <d v="2023-12-01T00:00:00"/>
    <d v="2025-08-05T00:00:00"/>
    <n v="-613"/>
    <x v="0"/>
    <x v="0"/>
    <s v="Customer"/>
    <e v="#N/A"/>
    <s v="own purchased, reason"/>
    <s v="NR"/>
    <m/>
  </r>
  <r>
    <n v="167"/>
    <s v="Paint Penguard Express CF RAL 1013 Part A"/>
    <s v="Penguard Express CF RAL 1013"/>
    <s v="A"/>
    <s v="L"/>
    <n v="16"/>
    <n v="1"/>
    <n v="16"/>
    <m/>
    <n v="0"/>
    <n v="16"/>
    <s v="done"/>
    <n v="3178665"/>
    <x v="1"/>
    <n v="2"/>
    <d v="2023-06-14T00:00:00"/>
    <d v="2025-12-12T00:00:00"/>
    <d v="2025-08-01T00:00:00"/>
    <n v="133"/>
    <x v="1"/>
    <x v="2"/>
    <s v="DFIPL Purchase"/>
    <s v="DFIPL Purchase"/>
    <m/>
    <s v="NR"/>
    <m/>
  </r>
  <r>
    <n v="50"/>
    <s v="Interprime 198 CPA 098"/>
    <s v="International Interprime 198"/>
    <s v="A"/>
    <s v="L"/>
    <n v="20"/>
    <n v="5"/>
    <n v="100"/>
    <m/>
    <n v="0"/>
    <n v="100"/>
    <s v="done"/>
    <s v="Q0D2029004"/>
    <x v="3"/>
    <n v="4"/>
    <d v="2022-02-01T00:00:00"/>
    <d v="2024-02-01T00:00:00"/>
    <d v="2025-08-05T00:00:00"/>
    <n v="-551"/>
    <x v="0"/>
    <x v="0"/>
    <s v="Customer"/>
    <e v="#N/A"/>
    <s v="own purchased, reason"/>
    <s v="NR"/>
    <m/>
  </r>
  <r>
    <n v="54"/>
    <s v="Interlac 665 Ral 1017CLS179"/>
    <s v="International Interlax 665 RAL 1017"/>
    <s v="A"/>
    <s v="L"/>
    <n v="20"/>
    <n v="4"/>
    <n v="80"/>
    <m/>
    <n v="0"/>
    <n v="80"/>
    <s v="done"/>
    <s v="YB4100GZ"/>
    <x v="3"/>
    <n v="4"/>
    <d v="2022-02-01T00:00:00"/>
    <d v="2024-02-01T00:00:00"/>
    <d v="2025-08-05T00:00:00"/>
    <n v="-551"/>
    <x v="0"/>
    <x v="0"/>
    <s v="Customer"/>
    <e v="#N/A"/>
    <s v="own purchased, reason"/>
    <s v="NR"/>
    <m/>
  </r>
  <r>
    <n v="173"/>
    <s v="Penguard Express Gray Part A (16 Ltr)"/>
    <s v="Penguard Express Grey"/>
    <s v="A"/>
    <s v="L"/>
    <n v="16"/>
    <n v="1"/>
    <n v="16"/>
    <m/>
    <n v="0"/>
    <n v="16"/>
    <s v="done"/>
    <n v="2736868"/>
    <x v="1"/>
    <n v="2"/>
    <d v="2022-02-16T00:00:00"/>
    <d v="2024-02-16T00:00:00"/>
    <d v="2025-08-05T00:00:00"/>
    <n v="-536"/>
    <x v="0"/>
    <x v="0"/>
    <s v="DFIPL Purchase"/>
    <s v="DFIPL Purchase"/>
    <m/>
    <s v="NR"/>
    <m/>
  </r>
  <r>
    <n v="52"/>
    <s v="Interguard 475HS Ral 7035"/>
    <s v="International Interguard 475 HS RAL 7035"/>
    <s v="B"/>
    <s v="L"/>
    <n v="15"/>
    <n v="2"/>
    <n v="30"/>
    <m/>
    <n v="0"/>
    <n v="30"/>
    <s v="done"/>
    <s v="Q0D2326006"/>
    <x v="3"/>
    <n v="4"/>
    <d v="2022-11-01T00:00:00"/>
    <d v="2024-05-01T00:00:00"/>
    <d v="2025-08-05T00:00:00"/>
    <n v="-461"/>
    <x v="0"/>
    <x v="0"/>
    <s v="Customer"/>
    <e v="#N/A"/>
    <s v="own purchased, reason"/>
    <s v="NR"/>
    <m/>
  </r>
  <r>
    <n v="209"/>
    <s v="Paint Penguard Express CF RAL 1013 Part B"/>
    <s v="Penguard Express CF Comp B"/>
    <s v="B"/>
    <s v="L"/>
    <n v="4"/>
    <n v="1"/>
    <n v="4"/>
    <m/>
    <n v="0"/>
    <n v="4"/>
    <s v="done"/>
    <n v="2811085"/>
    <x v="1"/>
    <n v="2"/>
    <d v="2022-05-11T00:00:00"/>
    <d v="2024-05-10T00:00:00"/>
    <d v="2025-08-05T00:00:00"/>
    <n v="-452"/>
    <x v="0"/>
    <x v="0"/>
    <s v="DFIPL Purchase"/>
    <s v="DFIPL Purchase"/>
    <m/>
    <s v="NR"/>
    <m/>
  </r>
  <r>
    <n v="210"/>
    <s v="Paint Penguard Express CF RAL 1013 Part B"/>
    <s v="Penguard Express CF Comp B"/>
    <s v="B"/>
    <s v="L"/>
    <n v="4"/>
    <n v="1"/>
    <n v="4"/>
    <m/>
    <n v="0"/>
    <n v="4"/>
    <s v="done"/>
    <n v="2853805"/>
    <x v="1"/>
    <n v="2"/>
    <d v="2022-06-27T00:00:00"/>
    <d v="2024-06-26T00:00:00"/>
    <d v="2025-08-05T00:00:00"/>
    <n v="-405"/>
    <x v="0"/>
    <x v="0"/>
    <s v="DFIPL Purchase"/>
    <s v="DFIPL Purchase"/>
    <m/>
    <s v="NR"/>
    <m/>
  </r>
  <r>
    <n v="226"/>
    <s v="Paint Barrier 80 Part B"/>
    <s v="Barrier 80 Comp. B"/>
    <s v="B"/>
    <s v="L"/>
    <n v="2.25"/>
    <n v="2"/>
    <n v="4.5"/>
    <m/>
    <n v="0"/>
    <n v="4.5"/>
    <s v="done"/>
    <n v="2859331"/>
    <x v="1"/>
    <n v="2"/>
    <d v="2022-07-01T00:00:00"/>
    <d v="2024-06-30T00:00:00"/>
    <d v="2025-08-05T00:00:00"/>
    <n v="-401"/>
    <x v="0"/>
    <x v="0"/>
    <s v="DFIPL Purchase"/>
    <s v="DFIPL Purchase"/>
    <m/>
    <s v="NR"/>
    <m/>
  </r>
  <r>
    <n v="48"/>
    <s v="Interthane 990"/>
    <s v="International Interthane 990"/>
    <s v="B"/>
    <s v="L"/>
    <n v="2.86"/>
    <n v="1"/>
    <n v="2.86"/>
    <m/>
    <n v="0"/>
    <n v="2.86"/>
    <s v="done"/>
    <s v="Q0D3046002"/>
    <x v="3"/>
    <n v="4"/>
    <d v="2023-02-01T00:00:00"/>
    <d v="2024-08-01T00:00:00"/>
    <d v="2025-08-05T00:00:00"/>
    <n v="-369"/>
    <x v="0"/>
    <x v="0"/>
    <s v="Customer"/>
    <e v="#N/A"/>
    <s v="own purchased, reason"/>
    <s v="NR"/>
    <m/>
  </r>
  <r>
    <n v="169"/>
    <s v="Barrier 80X A"/>
    <s v="Barrier 80 X Comp A"/>
    <s v="A"/>
    <s v="L"/>
    <n v="9"/>
    <n v="1"/>
    <n v="9"/>
    <m/>
    <n v="0"/>
    <n v="9"/>
    <s v="done"/>
    <n v="3236808"/>
    <x v="4"/>
    <n v="2"/>
    <d v="2023-08-14T00:00:00"/>
    <d v="2024-08-13T00:00:00"/>
    <d v="2025-08-05T00:00:00"/>
    <n v="-357"/>
    <x v="0"/>
    <x v="0"/>
    <s v="Customer"/>
    <e v="#N/A"/>
    <s v="reason"/>
    <s v="NR"/>
    <m/>
  </r>
  <r>
    <n v="107"/>
    <s v="Hempaprime multi 500 A"/>
    <s v="Hemaprime Multi 500"/>
    <s v="A"/>
    <s v="L"/>
    <n v="16"/>
    <n v="5"/>
    <n v="80"/>
    <m/>
    <n v="0"/>
    <n v="80"/>
    <s v="done"/>
    <n v="73035266"/>
    <x v="5"/>
    <n v="4"/>
    <d v="2023-04-14T00:00:00"/>
    <d v="2024-08-14T00:00:00"/>
    <d v="2025-08-05T00:00:00"/>
    <n v="-356"/>
    <x v="0"/>
    <x v="0"/>
    <s v="Customer"/>
    <e v="#N/A"/>
    <s v="reason"/>
    <s v="NR"/>
    <m/>
  </r>
  <r>
    <n v="51"/>
    <s v="Interprime 198 CPA 098"/>
    <s v="International Interprime 198"/>
    <s v="A"/>
    <s v="L"/>
    <n v="20"/>
    <n v="3"/>
    <n v="60"/>
    <m/>
    <n v="0"/>
    <n v="60"/>
    <s v="done"/>
    <s v="Q0D2272028"/>
    <x v="3"/>
    <n v="4"/>
    <d v="2022-10-01T00:00:00"/>
    <d v="2024-10-01T00:00:00"/>
    <d v="2025-08-05T00:00:00"/>
    <n v="-308"/>
    <x v="0"/>
    <x v="0"/>
    <s v="Customer"/>
    <e v="#N/A"/>
    <s v="own purchased, reason"/>
    <s v="NR"/>
    <m/>
  </r>
  <r>
    <n v="86"/>
    <s v="Jotun Thinner No.17"/>
    <s v="Jotun Thinner No. 17"/>
    <m/>
    <s v="L"/>
    <n v="20"/>
    <n v="4"/>
    <n v="80"/>
    <n v="1"/>
    <n v="20"/>
    <n v="60"/>
    <s v="done"/>
    <n v="3682857"/>
    <x v="0"/>
    <n v="4"/>
    <d v="2024-10-10T00:00:00"/>
    <d v="2024-10-09T00:00:00"/>
    <d v="2025-08-05T00:00:00"/>
    <n v="-300"/>
    <x v="0"/>
    <x v="0"/>
    <s v="DFIPL Purchase"/>
    <s v="DFIPL Purchase"/>
    <m/>
    <s v="NR"/>
    <s v="SGRE 620215 S5 Dt. 14.07.2025"/>
  </r>
  <r>
    <n v="212"/>
    <s v="OC2 JotaMastic 80 Grey Part A"/>
    <s v="Jotumastic 80 Grey A"/>
    <s v="A"/>
    <s v="L"/>
    <n v="16"/>
    <n v="1"/>
    <n v="16"/>
    <m/>
    <n v="0"/>
    <n v="16"/>
    <s v="done"/>
    <n v="2415759"/>
    <x v="1"/>
    <n v="2"/>
    <d v="2021-02-03T00:00:00"/>
    <d v="2025-02-02T00:00:00"/>
    <d v="2025-08-05T00:00:00"/>
    <n v="-184"/>
    <x v="0"/>
    <x v="0"/>
    <s v="DFIPL Purchase"/>
    <s v="DFIPL Purchase"/>
    <m/>
    <s v="NR"/>
    <m/>
  </r>
  <r>
    <n v="65"/>
    <s v="ACME Paint Hardtop XP, Part A Black Ral-9005"/>
    <s v="Hardtop XP Base 3A"/>
    <s v="A"/>
    <s v="L"/>
    <n v="17.39"/>
    <n v="1"/>
    <n v="17.39"/>
    <m/>
    <n v="0"/>
    <n v="17.39"/>
    <s v="done"/>
    <n v="2418301"/>
    <x v="0"/>
    <n v="4"/>
    <d v="2021-02-05T00:00:00"/>
    <d v="2025-02-04T00:00:00"/>
    <d v="2025-08-05T00:00:00"/>
    <n v="-182"/>
    <x v="0"/>
    <x v="0"/>
    <s v="DFIPL Purchase"/>
    <s v="DFIPL Purchase"/>
    <m/>
    <s v="NR"/>
    <m/>
  </r>
  <r>
    <n v="197"/>
    <s v="Hardtop WT8 RAL 9018 A 16.7"/>
    <s v="Hardtop WT8 RAL 9018"/>
    <s v="A"/>
    <s v="L"/>
    <n v="16.7"/>
    <n v="4"/>
    <n v="66.8"/>
    <m/>
    <n v="0"/>
    <n v="66.8"/>
    <s v="done"/>
    <n v="2422866"/>
    <x v="1"/>
    <n v="2"/>
    <d v="2021-02-10T00:00:00"/>
    <d v="2025-02-09T00:00:00"/>
    <d v="2025-08-05T00:00:00"/>
    <n v="-177"/>
    <x v="0"/>
    <x v="0"/>
    <s v="DFIPL Purchase"/>
    <s v="DFIPL Purchase"/>
    <m/>
    <s v="NR"/>
    <m/>
  </r>
  <r>
    <n v="58"/>
    <s v="Penguard Express Gray Part A (16 Ltr)"/>
    <s v="Penguard Express Grey"/>
    <s v="A"/>
    <s v="L"/>
    <n v="16"/>
    <n v="1"/>
    <n v="16"/>
    <m/>
    <n v="0"/>
    <n v="16"/>
    <s v="done"/>
    <n v="3061070"/>
    <x v="0"/>
    <n v="4"/>
    <d v="2023-02-15T00:00:00"/>
    <d v="2025-02-14T00:00:00"/>
    <d v="2025-08-05T00:00:00"/>
    <n v="-172"/>
    <x v="0"/>
    <x v="0"/>
    <s v="DFIPL Purchase"/>
    <s v="DFIPL Purchase"/>
    <m/>
    <s v="NR"/>
    <m/>
  </r>
  <r>
    <n v="106"/>
    <s v="Hempathane HS 55610 A 9002"/>
    <s v="Hempathane HS 55610"/>
    <s v="A"/>
    <s v="L"/>
    <n v="17.5"/>
    <n v="1"/>
    <n v="17.5"/>
    <m/>
    <n v="0"/>
    <n v="17.5"/>
    <s v="done"/>
    <n v="73025053"/>
    <x v="5"/>
    <n v="4"/>
    <d v="2023-02-14T00:00:00"/>
    <d v="2025-02-14T00:00:00"/>
    <d v="2025-08-05T00:00:00"/>
    <n v="-172"/>
    <x v="0"/>
    <x v="0"/>
    <s v="Customer"/>
    <e v="#N/A"/>
    <s v="reason"/>
    <s v="NR"/>
    <m/>
  </r>
  <r>
    <n v="174"/>
    <s v="Penguard Express Gray Part A (16 Ltr)"/>
    <s v="Penguard Express Grey"/>
    <s v="A"/>
    <s v="L"/>
    <n v="16"/>
    <n v="1"/>
    <n v="16"/>
    <m/>
    <n v="0"/>
    <n v="16"/>
    <s v="done"/>
    <n v="3061070"/>
    <x v="1"/>
    <n v="2"/>
    <d v="2023-02-15T00:00:00"/>
    <d v="2025-02-14T00:00:00"/>
    <d v="2025-08-05T00:00:00"/>
    <n v="-172"/>
    <x v="0"/>
    <x v="0"/>
    <s v="DFIPL Purchase"/>
    <s v="DFIPL Purchase"/>
    <m/>
    <s v="NR"/>
    <m/>
  </r>
  <r>
    <n v="108"/>
    <s v="Penguard Express Ral 9018 (Part A)"/>
    <s v="Penguard Express RAL 9018"/>
    <s v="A"/>
    <s v="L"/>
    <n v="16"/>
    <n v="1"/>
    <n v="16"/>
    <m/>
    <n v="0"/>
    <n v="16"/>
    <s v="done"/>
    <n v="3070411"/>
    <x v="0"/>
    <n v="4"/>
    <d v="2023-02-24T00:00:00"/>
    <d v="2025-02-23T00:00:00"/>
    <d v="2025-08-05T00:00:00"/>
    <n v="-163"/>
    <x v="0"/>
    <x v="0"/>
    <s v="DFIPL Purchase"/>
    <s v="DFIPL Purchase"/>
    <m/>
    <s v="NR"/>
    <m/>
  </r>
  <r>
    <n v="59"/>
    <s v="Hardtop XP 1021 A"/>
    <s v="Hardtop XP 1021 A"/>
    <s v="A"/>
    <s v="L"/>
    <n v="16.829999999999998"/>
    <n v="1"/>
    <n v="16.829999999999998"/>
    <m/>
    <n v="0"/>
    <n v="16.829999999999998"/>
    <s v="done"/>
    <n v="2426573"/>
    <x v="0"/>
    <n v="4"/>
    <d v="2021-03-06T00:00:00"/>
    <d v="2025-03-05T00:00:00"/>
    <d v="2025-08-05T00:00:00"/>
    <n v="-153"/>
    <x v="0"/>
    <x v="0"/>
    <s v="DFIPL Purchase"/>
    <s v="DFIPL Purchase"/>
    <m/>
    <s v="NR"/>
    <m/>
  </r>
  <r>
    <n v="105"/>
    <s v="Hempaprime multi 5561B 7035"/>
    <s v="Hempathane HS 5561"/>
    <s v="A"/>
    <s v="L"/>
    <n v="17.5"/>
    <n v="7"/>
    <n v="122.5"/>
    <m/>
    <n v="0"/>
    <n v="122.5"/>
    <s v="done"/>
    <n v="73045293"/>
    <x v="5"/>
    <n v="4"/>
    <d v="2023-04-28T00:00:00"/>
    <d v="2025-04-28T00:00:00"/>
    <d v="2025-08-05T00:00:00"/>
    <n v="-99"/>
    <x v="0"/>
    <x v="0"/>
    <s v="Customer"/>
    <e v="#N/A"/>
    <s v="reason"/>
    <s v="NR"/>
    <m/>
  </r>
  <r>
    <n v="176"/>
    <s v="Penguard Exp. Gray "/>
    <s v="Penguard Express Grey"/>
    <s v="A"/>
    <s v="L"/>
    <n v="16"/>
    <n v="2"/>
    <n v="32"/>
    <m/>
    <n v="0"/>
    <n v="32"/>
    <s v="done"/>
    <n v="3188271"/>
    <x v="4"/>
    <n v="2"/>
    <d v="2023-06-22T00:00:00"/>
    <d v="2025-06-21T00:00:00"/>
    <d v="2025-08-05T00:00:00"/>
    <n v="-45"/>
    <x v="0"/>
    <x v="1"/>
    <s v="Customer"/>
    <e v="#N/A"/>
    <s v="reason"/>
    <s v="NR"/>
    <m/>
  </r>
  <r>
    <n v="177"/>
    <s v="Penguard Exp. Gray "/>
    <s v="Penguard Express Grey"/>
    <s v="A"/>
    <s v="L"/>
    <n v="16"/>
    <n v="5"/>
    <n v="80"/>
    <m/>
    <n v="0"/>
    <n v="80"/>
    <s v="done"/>
    <n v="3188354"/>
    <x v="4"/>
    <n v="2"/>
    <d v="2023-06-22T00:00:00"/>
    <d v="2025-06-21T00:00:00"/>
    <d v="2025-08-05T00:00:00"/>
    <n v="-45"/>
    <x v="0"/>
    <x v="1"/>
    <s v="Customer"/>
    <e v="#N/A"/>
    <s v="reason"/>
    <s v="NR"/>
    <m/>
  </r>
  <r>
    <n v="217"/>
    <s v="Paint Resisit 86 Part A 8"/>
    <s v="Resist 86 Grey A"/>
    <s v="A"/>
    <s v="L"/>
    <n v="8"/>
    <n v="3"/>
    <n v="24"/>
    <m/>
    <n v="0"/>
    <n v="24"/>
    <s v="done"/>
    <n v="3773005"/>
    <x v="1"/>
    <n v="2"/>
    <d v="2024-12-19T00:00:00"/>
    <d v="2025-06-26T00:00:00"/>
    <d v="2025-08-05T00:00:00"/>
    <n v="-40"/>
    <x v="0"/>
    <x v="1"/>
    <s v="DFIPL Purchase"/>
    <s v="DFIPL Purchase"/>
    <m/>
    <s v="NR"/>
    <m/>
  </r>
  <r>
    <n v="225"/>
    <s v="Paint Barrier 80 Part B"/>
    <s v="Barrier 80 X Comp. B"/>
    <s v="B"/>
    <s v="L"/>
    <n v="1.8"/>
    <n v="2"/>
    <n v="3.6"/>
    <m/>
    <n v="0"/>
    <n v="3.6"/>
    <s v="done"/>
    <n v="3215909"/>
    <x v="1"/>
    <n v="2"/>
    <d v="2023-07-24T00:00:00"/>
    <d v="2025-07-23T00:00:00"/>
    <d v="2025-08-05T00:00:00"/>
    <n v="-13"/>
    <x v="0"/>
    <x v="1"/>
    <s v="DFIPL Purchase"/>
    <s v="DFIPL Purchase"/>
    <m/>
    <s v="NR"/>
    <m/>
  </r>
  <r>
    <n v="216"/>
    <s v="Penguard Exp. 9018 A"/>
    <s v="Penguard Express RAL 9018"/>
    <s v="A"/>
    <s v="L"/>
    <n v="16"/>
    <n v="1"/>
    <n v="16"/>
    <m/>
    <n v="0"/>
    <n v="16"/>
    <s v="done"/>
    <n v="3221407"/>
    <x v="4"/>
    <n v="2"/>
    <d v="2023-07-28T00:00:00"/>
    <d v="2025-07-27T00:00:00"/>
    <d v="2025-08-05T00:00:00"/>
    <n v="-9"/>
    <x v="0"/>
    <x v="1"/>
    <s v="Customer"/>
    <e v="#N/A"/>
    <m/>
    <s v="NR"/>
    <m/>
  </r>
  <r>
    <n v="32"/>
    <s v="Paint Barrier 80 Part A"/>
    <s v="Jotun Barrier 80S Grey A "/>
    <s v="A"/>
    <s v="L"/>
    <n v="7.5"/>
    <n v="2"/>
    <n v="15"/>
    <m/>
    <n v="0"/>
    <n v="15"/>
    <s v="done"/>
    <n v="3231343"/>
    <x v="0"/>
    <n v="3"/>
    <d v="2023-08-08T00:00:00"/>
    <d v="2025-08-07T00:00:00"/>
    <d v="2025-08-05T00:00:00"/>
    <n v="2"/>
    <x v="1"/>
    <x v="3"/>
    <s v="DFIPL Purchase"/>
    <s v="DFIPL Purchase"/>
    <m/>
    <s v="NR"/>
    <m/>
  </r>
  <r>
    <n v="180"/>
    <s v="Penguard Express Grey Part B (4 Ltr)"/>
    <s v="Penguard Express Comp B"/>
    <s v="B"/>
    <s v="L"/>
    <n v="4"/>
    <n v="9"/>
    <n v="36"/>
    <n v="9"/>
    <n v="36"/>
    <n v="0"/>
    <s v="done"/>
    <n v="3249888"/>
    <x v="1"/>
    <n v="2"/>
    <d v="2023-08-25T00:00:00"/>
    <d v="2025-08-24T00:00:00"/>
    <d v="2025-08-05T00:00:00"/>
    <n v="19"/>
    <x v="1"/>
    <x v="3"/>
    <s v="DFIPL Purchase"/>
    <s v="DFIPL Purchase"/>
    <m/>
    <s v="NR"/>
    <s v="SGRE 620173 S3 DT. 02.08.2025"/>
  </r>
  <r>
    <n v="13"/>
    <s v="Hempaprime Core 500 (47680) 9018 Part - A, Pack Size -16.4Ltrs."/>
    <s v="Hempaprime Core 500 47680 RAL 9018"/>
    <s v="A"/>
    <s v="L"/>
    <n v="16.399999999999999"/>
    <n v="13"/>
    <n v="213.2"/>
    <m/>
    <n v="0"/>
    <n v="213.2"/>
    <s v="done"/>
    <n v="74085142"/>
    <x v="0"/>
    <n v="3"/>
    <d v="2024-08-28T00:00:00"/>
    <d v="2025-08-28T00:00:00"/>
    <d v="2025-08-05T00:00:00"/>
    <n v="23"/>
    <x v="1"/>
    <x v="3"/>
    <s v="DFIPL Purchase"/>
    <s v="DFIPL Purchase"/>
    <m/>
    <s v="NR"/>
    <s v="AYANA 364 TN 01 S1"/>
  </r>
  <r>
    <n v="1"/>
    <s v="Hempaprime Core 500 (47680) 9018 Part - B, Pack Size -3.6Ltrs."/>
    <s v="Hempel's Curing Agent 97068"/>
    <s v="B"/>
    <s v="L"/>
    <n v="3.6"/>
    <n v="4"/>
    <n v="14.4"/>
    <m/>
    <n v="0"/>
    <n v="14.4"/>
    <s v="done"/>
    <n v="74055154"/>
    <x v="0"/>
    <n v="3"/>
    <d v="2024-05-21T00:00:00"/>
    <d v="2025-08-30T00:00:00"/>
    <d v="2025-08-05T00:00:00"/>
    <n v="25"/>
    <x v="1"/>
    <x v="3"/>
    <s v="DFIPL Purchase"/>
    <s v="DFIPL Purchase"/>
    <s v="New date changed"/>
    <s v="NR"/>
    <s v="AYANA 364 TN 01 S1"/>
  </r>
  <r>
    <n v="2"/>
    <s v="Hempaprime Core 500 (47680), Grey Part -B, Pack Size -3.6Ltrs."/>
    <s v="Hempel's Curing Agent 97068"/>
    <s v="B"/>
    <s v="L"/>
    <n v="3.6"/>
    <n v="24"/>
    <n v="86.4"/>
    <m/>
    <n v="0"/>
    <n v="86.4"/>
    <s v="done"/>
    <n v="74065098"/>
    <x v="0"/>
    <n v="3"/>
    <d v="2024-06-13T00:00:00"/>
    <d v="2025-08-30T00:00:00"/>
    <d v="2025-08-05T00:00:00"/>
    <n v="25"/>
    <x v="1"/>
    <x v="3"/>
    <s v="DFIPL Purchase"/>
    <s v="DFIPL Purchase"/>
    <s v="New date changed"/>
    <s v="NR"/>
    <m/>
  </r>
  <r>
    <n v="190"/>
    <s v="Hardtop WT8 RAL 9018 B 3.3"/>
    <s v="Hardtop WT8 Comp B"/>
    <s v="B"/>
    <s v="L"/>
    <n v="3.3"/>
    <n v="17"/>
    <n v="56.099999999999994"/>
    <n v="3"/>
    <n v="9.8999999999999986"/>
    <n v="46.199999999999996"/>
    <s v="done"/>
    <n v="2445230"/>
    <x v="1"/>
    <n v="2"/>
    <d v="2021-03-10T00:00:00"/>
    <d v="2025-09-08T00:00:00"/>
    <d v="2025-08-05T00:00:00"/>
    <n v="34"/>
    <x v="1"/>
    <x v="3"/>
    <s v="DFIPL Purchase"/>
    <s v="DFIPL Purchase"/>
    <s v="New date changed"/>
    <s v="NR"/>
    <s v="SGRE 620215 S5 Dt. 14.07.2025, SGRE 620173 S3 DT. 02.08.2025"/>
  </r>
  <r>
    <n v="198"/>
    <s v="Hardtop WT8 RAL 9018 A 16.7"/>
    <s v="Hardtop WT8 RAL 9018"/>
    <s v="A"/>
    <s v="L"/>
    <n v="16.7"/>
    <n v="9"/>
    <n v="150.29999999999998"/>
    <n v="3"/>
    <n v="50.099999999999994"/>
    <n v="100.19999999999999"/>
    <s v="done"/>
    <n v="2436400"/>
    <x v="1"/>
    <n v="2"/>
    <d v="2021-03-10T00:00:00"/>
    <d v="2025-09-08T00:00:00"/>
    <d v="2025-08-05T00:00:00"/>
    <n v="34"/>
    <x v="1"/>
    <x v="3"/>
    <s v="DFIPL Purchase"/>
    <s v="DFIPL Purchase"/>
    <s v="New date changed"/>
    <s v="NR"/>
    <s v="SGRE 620215 S5 Dt. 14.07.2025, SGRE 620173 S3 DT. 02.08.2025"/>
  </r>
  <r>
    <n v="199"/>
    <s v="Hardtop WT8 RAL 9018 A 16.7"/>
    <s v="Hardtop WT8 RAL 9018"/>
    <s v="A"/>
    <s v="L"/>
    <n v="16.7"/>
    <n v="11"/>
    <n v="183.7"/>
    <m/>
    <n v="0"/>
    <n v="183.7"/>
    <s v="done"/>
    <n v="2471867"/>
    <x v="1"/>
    <n v="2"/>
    <d v="2021-04-13T00:00:00"/>
    <d v="2025-10-11T00:00:00"/>
    <d v="2025-08-05T00:00:00"/>
    <n v="67"/>
    <x v="1"/>
    <x v="2"/>
    <s v="DFIPL Purchase"/>
    <s v="DFIPL Purchase"/>
    <s v="New date changed"/>
    <s v="NR"/>
    <m/>
  </r>
  <r>
    <n v="30"/>
    <s v="Paint Barrier 80 Part A"/>
    <s v="Jotun Barrier 80S Grey A "/>
    <s v="A"/>
    <s v="L"/>
    <n v="7.5"/>
    <n v="1"/>
    <n v="7.5"/>
    <m/>
    <n v="0"/>
    <n v="7.5"/>
    <s v="done"/>
    <n v="3338629"/>
    <x v="0"/>
    <n v="3"/>
    <d v="2023-11-21T00:00:00"/>
    <d v="2025-11-20T00:00:00"/>
    <d v="2025-08-05T00:00:00"/>
    <n v="107"/>
    <x v="1"/>
    <x v="2"/>
    <s v="DFIPL Purchase"/>
    <s v="DFIPL Purchase"/>
    <m/>
    <s v="NR"/>
    <m/>
  </r>
  <r>
    <n v="165"/>
    <s v="Paint Penguard Express CF RAL 1013 Part A"/>
    <s v="Penguard Express CF RAL 1013"/>
    <s v="A"/>
    <s v="L"/>
    <n v="16"/>
    <n v="13"/>
    <n v="208"/>
    <m/>
    <n v="0"/>
    <n v="208"/>
    <s v="done"/>
    <n v="3178851"/>
    <x v="1"/>
    <n v="2"/>
    <d v="2023-06-14T00:00:00"/>
    <d v="2025-12-12T00:00:00"/>
    <d v="2025-08-05T00:00:00"/>
    <n v="129"/>
    <x v="1"/>
    <x v="2"/>
    <s v="DFIPL Purchase"/>
    <s v="DFIPL Purchase"/>
    <s v="New date changed"/>
    <s v="NR"/>
    <s v="SGRE 620215 S5 Dt. 14.07.2025"/>
  </r>
  <r>
    <n v="208"/>
    <s v="Paint Penguard Express CF RAL 1013 Part A"/>
    <s v="Penguard Express CF Comp B"/>
    <s v="B"/>
    <s v="L"/>
    <n v="4"/>
    <n v="15"/>
    <n v="60"/>
    <n v="3"/>
    <n v="12"/>
    <n v="48"/>
    <s v="done"/>
    <n v="3178665"/>
    <x v="1"/>
    <n v="2"/>
    <d v="2023-06-14T00:00:00"/>
    <d v="2025-12-12T00:00:00"/>
    <d v="2025-08-05T00:00:00"/>
    <n v="129"/>
    <x v="1"/>
    <x v="2"/>
    <s v="DFIPL Purchase"/>
    <s v="DFIPL Purchase"/>
    <s v="New date changed"/>
    <s v="NR"/>
    <s v="SGRE 620215 S5 Dt. 14.07.2025, SGRE 620173 S3 DT. 02.08.2025"/>
  </r>
  <r>
    <n v="211"/>
    <s v="Paint Penguard Express CF RAL 1013 Part A"/>
    <s v="Penguard Express CF Comp B"/>
    <s v="B"/>
    <s v="L"/>
    <n v="4"/>
    <n v="1"/>
    <n v="4"/>
    <m/>
    <n v="0"/>
    <n v="4"/>
    <s v="done"/>
    <n v="3178665"/>
    <x v="1"/>
    <n v="2"/>
    <d v="2023-06-14T00:00:00"/>
    <d v="2025-12-12T00:00:00"/>
    <d v="2025-08-05T00:00:00"/>
    <n v="129"/>
    <x v="1"/>
    <x v="2"/>
    <s v="DFIPL Purchase"/>
    <s v="DFIPL Purchase"/>
    <s v="New date changed"/>
    <s v="NR"/>
    <m/>
  </r>
  <r>
    <n v="90"/>
    <s v="Hemapadur avantagard 750"/>
    <s v="Hempadur Avantguard 750"/>
    <s v="A"/>
    <s v="L"/>
    <n v="8.5"/>
    <n v="49"/>
    <n v="416.5"/>
    <m/>
    <n v="0"/>
    <n v="416.5"/>
    <s v="done"/>
    <n v="605010596"/>
    <x v="6"/>
    <n v="4"/>
    <d v="2025-01-24T00:00:00"/>
    <d v="2026-01-24T00:00:00"/>
    <d v="2025-08-05T00:00:00"/>
    <n v="172"/>
    <x v="1"/>
    <x v="2"/>
    <s v="Customer"/>
    <e v="#N/A"/>
    <m/>
    <s v="NR"/>
    <s v="ADANI TN 19 SG2, ADANI TN 19 SG3, ADANI TN 19 SG1"/>
  </r>
  <r>
    <n v="206"/>
    <s v="Hardtop XP Comp A RAL9018"/>
    <s v="Hardtop XP RAL 9018"/>
    <s v="A"/>
    <s v="L"/>
    <n v="18.2"/>
    <n v="6"/>
    <n v="109.19999999999999"/>
    <m/>
    <n v="0"/>
    <n v="109.19999999999999"/>
    <s v="done"/>
    <n v="2721654"/>
    <x v="1"/>
    <n v="2"/>
    <d v="2022-01-28T00:00:00"/>
    <d v="2026-01-27T00:00:00"/>
    <d v="2025-08-05T00:00:00"/>
    <n v="175"/>
    <x v="1"/>
    <x v="2"/>
    <s v="DFIPL Purchase"/>
    <s v="DFIPL Purchase"/>
    <m/>
    <s v="NR"/>
    <m/>
  </r>
  <r>
    <n v="31"/>
    <s v="Paint Barrier 80 Part A"/>
    <s v="Jotun Barrier 80S Grey A "/>
    <s v="A"/>
    <s v="L"/>
    <n v="7.5"/>
    <n v="1"/>
    <n v="7.5"/>
    <m/>
    <n v="0"/>
    <n v="7.5"/>
    <s v="done"/>
    <n v="3413309"/>
    <x v="0"/>
    <n v="3"/>
    <d v="2024-02-01T00:00:00"/>
    <d v="2026-01-31T00:00:00"/>
    <d v="2025-08-05T00:00:00"/>
    <n v="179"/>
    <x v="1"/>
    <x v="2"/>
    <s v="DFIPL Purchase"/>
    <s v="DFIPL Purchase"/>
    <m/>
    <s v="NR"/>
    <m/>
  </r>
  <r>
    <n v="43"/>
    <s v="Paint Barrier 80 Part B"/>
    <s v="Jotun Barrier 80S Comp B"/>
    <s v="B"/>
    <s v="L"/>
    <n v="1.25"/>
    <n v="6"/>
    <n v="7.5"/>
    <n v="1"/>
    <n v="1.25"/>
    <n v="6.25"/>
    <s v="done"/>
    <n v="3413173"/>
    <x v="0"/>
    <n v="3"/>
    <d v="2024-02-01T00:00:00"/>
    <d v="2026-01-31T00:00:00"/>
    <d v="2025-08-05T00:00:00"/>
    <n v="179"/>
    <x v="1"/>
    <x v="2"/>
    <s v="DFIPL Purchase"/>
    <s v="DFIPL Purchase"/>
    <m/>
    <s v="NR"/>
    <s v="WELSPUN TN 6 S3, WELSPUN TN 7 S4 DT. 28.07.2025 "/>
  </r>
  <r>
    <n v="46"/>
    <s v="Hempaprime Core 500 (47680), Grey Part -A , Pack Size -16.4Ltrs."/>
    <s v="Hempaprime Core 500 "/>
    <s v="A"/>
    <s v="L"/>
    <n v="16.399999999999999"/>
    <n v="15"/>
    <n v="245.99999999999997"/>
    <m/>
    <n v="0"/>
    <n v="245.99999999999997"/>
    <s v="done"/>
    <n v="74095323"/>
    <x v="0"/>
    <n v="3"/>
    <d v="2024-10-15T00:00:00"/>
    <d v="2026-02-15T00:00:00"/>
    <d v="2025-08-05T00:00:00"/>
    <n v="194"/>
    <x v="1"/>
    <x v="2"/>
    <s v="DFIPL Purchase"/>
    <s v="DFIPL Purchase"/>
    <m/>
    <s v="NR"/>
    <s v="AYANA 364 TN 01 S1"/>
  </r>
  <r>
    <n v="75"/>
    <s v="Hemal curring Agent 95090"/>
    <s v="Hempel's Curing Agent 95090"/>
    <s v="B"/>
    <s v="L"/>
    <n v="4"/>
    <n v="3"/>
    <n v="12"/>
    <m/>
    <n v="0"/>
    <n v="12"/>
    <s v="done"/>
    <n v="74115081"/>
    <x v="6"/>
    <n v="4"/>
    <d v="2024-11-08T00:00:00"/>
    <d v="2026-03-08T00:00:00"/>
    <d v="2025-08-05T00:00:00"/>
    <n v="215"/>
    <x v="1"/>
    <x v="2"/>
    <s v="Customer"/>
    <e v="#N/A"/>
    <m/>
    <s v="NR"/>
    <m/>
  </r>
  <r>
    <n v="80"/>
    <s v="Hemal curring Agent 95090"/>
    <s v="Hempel's Curing Agent 95090"/>
    <s v="B"/>
    <s v="L"/>
    <n v="4"/>
    <n v="61"/>
    <n v="244"/>
    <m/>
    <n v="0"/>
    <n v="244"/>
    <s v="done"/>
    <n v="74115099"/>
    <x v="6"/>
    <n v="4"/>
    <d v="2024-11-18T00:00:00"/>
    <d v="2026-03-18T00:00:00"/>
    <d v="2025-08-05T00:00:00"/>
    <n v="225"/>
    <x v="1"/>
    <x v="2"/>
    <s v="Customer"/>
    <e v="#N/A"/>
    <m/>
    <s v="NR"/>
    <s v="ADANI TN 19 SG2, ADANI TN 19 SG3, ADANI TN 19 SG1, ADANI TN 19 SG4 "/>
  </r>
  <r>
    <n v="70"/>
    <s v="Hempaprime multi 500 A"/>
    <s v="Hemaprime Multi 500"/>
    <s v="A"/>
    <s v="L"/>
    <n v="16"/>
    <n v="3"/>
    <n v="48"/>
    <m/>
    <n v="0"/>
    <n v="48"/>
    <s v="done"/>
    <n v="74105030"/>
    <x v="6"/>
    <n v="4"/>
    <d v="2024-11-22T00:00:00"/>
    <d v="2026-03-22T00:00:00"/>
    <d v="2025-08-05T00:00:00"/>
    <n v="229"/>
    <x v="1"/>
    <x v="2"/>
    <s v="Customer"/>
    <e v="#N/A"/>
    <m/>
    <s v="NR"/>
    <m/>
  </r>
  <r>
    <n v="91"/>
    <s v="Hempaprime multi 500 A"/>
    <s v="Hemaprime Multi 500"/>
    <s v="A"/>
    <s v="L"/>
    <n v="16"/>
    <n v="64"/>
    <n v="1024"/>
    <m/>
    <n v="0"/>
    <n v="1024"/>
    <s v="done"/>
    <n v="74105294"/>
    <x v="6"/>
    <n v="4"/>
    <d v="2024-11-25T00:00:00"/>
    <d v="2026-03-25T00:00:00"/>
    <d v="2025-08-05T00:00:00"/>
    <n v="232"/>
    <x v="1"/>
    <x v="2"/>
    <s v="Customer"/>
    <e v="#N/A"/>
    <m/>
    <s v="NR"/>
    <s v="ADANI TN 19 SG2, ADANI TN 19 SG3, ADANI TN 19 SG1"/>
  </r>
  <r>
    <n v="71"/>
    <s v="Barrier 80X A"/>
    <s v="Jotun Barrier 80 X Comp A"/>
    <s v="A"/>
    <s v="L"/>
    <n v="9"/>
    <n v="39"/>
    <n v="351"/>
    <m/>
    <n v="0"/>
    <n v="351"/>
    <s v="done"/>
    <n v="3882754"/>
    <x v="7"/>
    <n v="4"/>
    <d v="2025-04-10T00:00:00"/>
    <d v="2026-04-10T00:00:00"/>
    <d v="2025-08-05T00:00:00"/>
    <n v="248"/>
    <x v="1"/>
    <x v="2"/>
    <s v="Customer"/>
    <e v="#N/A"/>
    <s v="3882754 need to check batch number again 72"/>
    <s v="correction done"/>
    <m/>
  </r>
  <r>
    <n v="184"/>
    <s v="Hardtop XP Comp B RAL 9018"/>
    <s v="Hardtop XP Comp B"/>
    <s v="B"/>
    <s v="L"/>
    <n v="1.8"/>
    <n v="2"/>
    <n v="3.6"/>
    <m/>
    <n v="0"/>
    <n v="3.6"/>
    <s v="done"/>
    <n v="2829592"/>
    <x v="1"/>
    <n v="2"/>
    <d v="2022-06-01T00:00:00"/>
    <d v="2026-05-31T00:00:00"/>
    <d v="2025-08-05T00:00:00"/>
    <n v="299"/>
    <x v="1"/>
    <x v="2"/>
    <s v="DFIPL Purchase"/>
    <s v="DFIPL Purchase"/>
    <m/>
    <s v="NR"/>
    <m/>
  </r>
  <r>
    <n v="196"/>
    <s v="Hardtop XP Comp A RAL9018"/>
    <s v="Hardtop WT8 RAL 9018"/>
    <s v="A"/>
    <s v="L"/>
    <n v="18.2"/>
    <n v="3"/>
    <n v="54.599999999999994"/>
    <m/>
    <n v="0"/>
    <n v="54.599999999999994"/>
    <s v="done"/>
    <n v="2829609"/>
    <x v="1"/>
    <n v="2"/>
    <d v="2022-06-01T00:00:00"/>
    <d v="2026-05-31T00:00:00"/>
    <d v="2025-08-05T00:00:00"/>
    <n v="299"/>
    <x v="1"/>
    <x v="2"/>
    <s v="DFIPL Purchase"/>
    <s v="DFIPL Purchase"/>
    <s v="need to check tin/ltr might be 16.7"/>
    <s v="OK checked again"/>
    <m/>
  </r>
  <r>
    <n v="195"/>
    <s v="Hardtop XP Comp A RAL9018"/>
    <s v="Hardtop WT8 RAL 9018"/>
    <s v="A"/>
    <s v="L"/>
    <n v="18.2"/>
    <n v="25"/>
    <n v="455"/>
    <m/>
    <n v="0"/>
    <n v="455"/>
    <s v="done"/>
    <n v="2845867"/>
    <x v="1"/>
    <n v="2"/>
    <d v="2022-06-17T00:00:00"/>
    <d v="2026-06-16T00:00:00"/>
    <d v="2025-08-05T00:00:00"/>
    <n v="315"/>
    <x v="1"/>
    <x v="2"/>
    <s v="DFIPL Purchase"/>
    <s v="DFIPL Purchase"/>
    <s v="need to check tin/ltr might be 16.7"/>
    <s v="OK checked again"/>
    <m/>
  </r>
  <r>
    <n v="189"/>
    <s v="Hardtop XP Comp B RAL 9018"/>
    <s v="Hardtop XP Comp B"/>
    <s v="B"/>
    <s v="L"/>
    <n v="1.8"/>
    <n v="18"/>
    <n v="32.4"/>
    <m/>
    <n v="0"/>
    <n v="32.4"/>
    <s v="done"/>
    <n v="2866745"/>
    <x v="1"/>
    <n v="2"/>
    <d v="2022-07-11T00:00:00"/>
    <d v="2026-07-10T00:00:00"/>
    <d v="2025-08-05T00:00:00"/>
    <n v="339"/>
    <x v="1"/>
    <x v="2"/>
    <s v="DFIPL Purchase"/>
    <s v="DFIPL Purchase"/>
    <m/>
    <s v="NR"/>
    <m/>
  </r>
  <r>
    <n v="44"/>
    <s v="Ayana Paint Hardtop XP, Part B Hyacinth Blue Ral-2804045"/>
    <s v="Hardtop XP, Comp B"/>
    <s v="B"/>
    <s v="L"/>
    <n v="1.8"/>
    <n v="3"/>
    <n v="5.4"/>
    <m/>
    <n v="0"/>
    <n v="5.4"/>
    <s v="done"/>
    <n v="3593644"/>
    <x v="0"/>
    <n v="3"/>
    <d v="2024-07-29T00:00:00"/>
    <d v="2026-07-28T00:00:00"/>
    <d v="2025-08-05T00:00:00"/>
    <n v="357"/>
    <x v="1"/>
    <x v="2"/>
    <s v="DFIPL Purchase"/>
    <s v="DFIPL Purchase"/>
    <m/>
    <s v="NR"/>
    <m/>
  </r>
  <r>
    <n v="62"/>
    <s v="Penguard Express Gray Part A (16 Ltr)"/>
    <s v="Penguard Exp. Gray A"/>
    <s v="A"/>
    <s v="L"/>
    <n v="16"/>
    <n v="2"/>
    <n v="32"/>
    <m/>
    <n v="0"/>
    <n v="32"/>
    <s v="done"/>
    <n v="3597698"/>
    <x v="0"/>
    <n v="4"/>
    <d v="2024-07-31T00:00:00"/>
    <d v="2026-07-31T00:00:00"/>
    <d v="2025-08-05T00:00:00"/>
    <n v="360"/>
    <x v="1"/>
    <x v="2"/>
    <s v="DFIPL Purchase"/>
    <s v="DFIPL Purchase"/>
    <m/>
    <s v="NR"/>
    <m/>
  </r>
  <r>
    <n v="88"/>
    <s v="Penguard Express Ral 9018 (Part A)"/>
    <s v="Penguard Express Grey"/>
    <s v="A"/>
    <s v="L"/>
    <n v="16"/>
    <n v="1"/>
    <n v="16"/>
    <m/>
    <n v="0"/>
    <n v="16"/>
    <s v="done"/>
    <n v="3587698"/>
    <x v="0"/>
    <n v="4"/>
    <d v="2024-07-31T00:00:00"/>
    <d v="2026-07-31T00:00:00"/>
    <d v="2025-08-05T00:00:00"/>
    <n v="360"/>
    <x v="1"/>
    <x v="2"/>
    <s v="DFIPL Purchase"/>
    <s v="DFIPL Purchase"/>
    <m/>
    <s v="NR"/>
    <m/>
  </r>
  <r>
    <n v="138"/>
    <s v="Hempal Curing Agent 95070 B"/>
    <s v="Hempal Curing Agent 95070 B"/>
    <s v="B"/>
    <s v="L"/>
    <n v="2.5"/>
    <n v="57"/>
    <n v="142.5"/>
    <m/>
    <n v="0"/>
    <n v="142.5"/>
    <s v="done"/>
    <n v="75045922"/>
    <x v="6"/>
    <n v="1"/>
    <d v="2025-04-04T00:00:00"/>
    <d v="2026-08-04T00:00:00"/>
    <d v="2025-08-05T00:00:00"/>
    <n v="364"/>
    <x v="1"/>
    <x v="2"/>
    <s v="Customer"/>
    <e v="#N/A"/>
    <m/>
    <s v="NR"/>
    <s v="ADANI TN 19 SG2, ADANI TN 19 SG4, ADANI TN 19 SG1"/>
  </r>
  <r>
    <n v="135"/>
    <s v="Hempal Curing Agent 95090 B"/>
    <s v="Hempel Curing agent 95090"/>
    <s v="B"/>
    <s v="L"/>
    <n v="4"/>
    <n v="134"/>
    <n v="536"/>
    <m/>
    <n v="0"/>
    <n v="536"/>
    <s v="done"/>
    <n v="75045027"/>
    <x v="6"/>
    <n v="1"/>
    <d v="2025-04-07T00:00:00"/>
    <d v="2026-08-07T00:00:00"/>
    <d v="2025-08-05T00:00:00"/>
    <n v="367"/>
    <x v="1"/>
    <x v="2"/>
    <s v="Customer"/>
    <e v="#N/A"/>
    <m/>
    <s v="NR"/>
    <m/>
  </r>
  <r>
    <n v="63"/>
    <s v="Penguard Express Gray Part A (16 Ltr)"/>
    <s v="Penguard Express Grey"/>
    <s v="A"/>
    <s v="L"/>
    <n v="16"/>
    <n v="1"/>
    <n v="16"/>
    <m/>
    <n v="0"/>
    <n v="16"/>
    <s v="done"/>
    <n v="3604593"/>
    <x v="0"/>
    <n v="4"/>
    <d v="2024-08-08T00:00:00"/>
    <d v="2026-08-08T00:00:00"/>
    <d v="2025-08-05T00:00:00"/>
    <n v="368"/>
    <x v="1"/>
    <x v="2"/>
    <s v="DFIPL Purchase"/>
    <s v="DFIPL Purchase"/>
    <m/>
    <s v="NR"/>
    <m/>
  </r>
  <r>
    <n v="134"/>
    <s v="Hempaprime multi 500 A"/>
    <s v="Hemaprime Multi 500"/>
    <s v="A"/>
    <s v="L"/>
    <n v="16"/>
    <n v="128"/>
    <n v="2048"/>
    <m/>
    <n v="0"/>
    <n v="2048"/>
    <s v="done"/>
    <n v="75045064"/>
    <x v="6"/>
    <n v="1"/>
    <d v="2025-04-16T00:00:00"/>
    <d v="2026-08-16T00:00:00"/>
    <d v="2025-08-05T00:00:00"/>
    <n v="376"/>
    <x v="1"/>
    <x v="2"/>
    <s v="Customer"/>
    <e v="#N/A"/>
    <m/>
    <s v="NR"/>
    <m/>
  </r>
  <r>
    <n v="89"/>
    <s v="Penguard Express Gray Part A (16 Ltr)"/>
    <s v="Penguard Express Grey"/>
    <s v="A"/>
    <s v="L"/>
    <n v="16"/>
    <n v="9"/>
    <n v="144"/>
    <m/>
    <n v="0"/>
    <n v="144"/>
    <s v="done"/>
    <n v="3628121"/>
    <x v="0"/>
    <n v="4"/>
    <d v="2024-08-30T00:00:00"/>
    <d v="2026-08-20T00:00:00"/>
    <d v="2025-08-05T00:00:00"/>
    <n v="380"/>
    <x v="1"/>
    <x v="2"/>
    <s v="DFIPL Purchase"/>
    <s v="DFIPL Purchase"/>
    <m/>
    <s v="NR"/>
    <m/>
  </r>
  <r>
    <n v="84"/>
    <s v="Hempal Curing Agent 97050 B"/>
    <s v="Hempel Curing agent 97050"/>
    <s v="B"/>
    <s v="L"/>
    <n v="2.5"/>
    <n v="10"/>
    <n v="25"/>
    <m/>
    <n v="0"/>
    <n v="25"/>
    <s v="done"/>
    <n v="75045187"/>
    <x v="6"/>
    <n v="4"/>
    <d v="2025-04-25T00:00:00"/>
    <d v="2026-08-25T00:00:00"/>
    <d v="2025-08-05T00:00:00"/>
    <n v="385"/>
    <x v="1"/>
    <x v="2"/>
    <s v="Customer"/>
    <e v="#N/A"/>
    <m/>
    <s v="NR"/>
    <s v="AYANA 364 TN 01 S1, ADANI TN 19 SG3"/>
  </r>
  <r>
    <n v="87"/>
    <s v="Penguard Express Gray Part A (16 Ltr)"/>
    <s v="Penguard Express Grey"/>
    <s v="A"/>
    <s v="L"/>
    <n v="16"/>
    <n v="3"/>
    <n v="48"/>
    <m/>
    <n v="0"/>
    <n v="48"/>
    <s v="done"/>
    <n v="3624897"/>
    <x v="0"/>
    <n v="4"/>
    <d v="2024-08-28T00:00:00"/>
    <d v="2026-08-28T00:00:00"/>
    <d v="2025-08-05T00:00:00"/>
    <n v="388"/>
    <x v="1"/>
    <x v="2"/>
    <s v="DFIPL Purchase"/>
    <s v="DFIPL Purchase"/>
    <m/>
    <s v="NR"/>
    <m/>
  </r>
  <r>
    <n v="33"/>
    <s v="Penguard Express Grey Part B (4 Ltr)"/>
    <s v="Penguard Express Comp B"/>
    <s v="B"/>
    <s v="L"/>
    <n v="4"/>
    <n v="4"/>
    <n v="16"/>
    <m/>
    <n v="0"/>
    <n v="16"/>
    <s v="done"/>
    <n v="3626370"/>
    <x v="0"/>
    <n v="3"/>
    <d v="2024-08-29T00:00:00"/>
    <d v="2026-08-29T00:00:00"/>
    <d v="2025-08-05T00:00:00"/>
    <n v="389"/>
    <x v="1"/>
    <x v="2"/>
    <s v="DFIPL Purchase"/>
    <s v="DFIPL Purchase"/>
    <m/>
    <s v="NR"/>
    <m/>
  </r>
  <r>
    <n v="60"/>
    <s v="Penguard Express Grey Part B (4 Ltr)"/>
    <s v="Penguard Express Comp B"/>
    <s v="B"/>
    <s v="L"/>
    <n v="4"/>
    <n v="7"/>
    <n v="28"/>
    <m/>
    <n v="0"/>
    <n v="28"/>
    <s v="done"/>
    <n v="3628963"/>
    <x v="0"/>
    <n v="4"/>
    <d v="2024-09-02T00:00:00"/>
    <d v="2026-09-02T00:00:00"/>
    <d v="2025-08-05T00:00:00"/>
    <n v="393"/>
    <x v="1"/>
    <x v="2"/>
    <s v="DFIPL Purchase"/>
    <s v="DFIPL Purchase"/>
    <m/>
    <s v="NR"/>
    <m/>
  </r>
  <r>
    <n v="64"/>
    <s v="Penguard Express Ral 9018 (Part A)"/>
    <s v="Penguard Express RAL 9018"/>
    <s v="A"/>
    <s v="L"/>
    <n v="16"/>
    <n v="1"/>
    <n v="16"/>
    <m/>
    <n v="0"/>
    <n v="16"/>
    <s v="done"/>
    <n v="3630657"/>
    <x v="0"/>
    <n v="4"/>
    <d v="2024-09-03T00:00:00"/>
    <d v="2026-09-03T00:00:00"/>
    <d v="2025-08-05T00:00:00"/>
    <n v="394"/>
    <x v="1"/>
    <x v="2"/>
    <s v="DFIPL Purchase"/>
    <s v="DFIPL Purchase"/>
    <m/>
    <s v="NR"/>
    <m/>
  </r>
  <r>
    <n v="215"/>
    <s v="Penguard Exp. 9018 A"/>
    <s v="Penguard Express RAL 9018"/>
    <s v="A"/>
    <s v="L"/>
    <n v="16"/>
    <n v="1"/>
    <n v="16"/>
    <m/>
    <n v="0"/>
    <n v="16"/>
    <s v="done"/>
    <n v="3631958"/>
    <x v="4"/>
    <n v="2"/>
    <d v="2024-09-04T00:00:00"/>
    <d v="2026-09-04T00:00:00"/>
    <d v="2025-08-05T00:00:00"/>
    <n v="395"/>
    <x v="1"/>
    <x v="2"/>
    <s v="Customer"/>
    <e v="#N/A"/>
    <m/>
    <s v="NR"/>
    <m/>
  </r>
  <r>
    <n v="66"/>
    <s v="Hardtop XP Comp A RAL 6029 Mint Green - 18.174 Ltrs."/>
    <s v="Hardtop XP Base 3A RAL 6029"/>
    <s v="A"/>
    <s v="L"/>
    <n v="18.170000000000002"/>
    <n v="1"/>
    <n v="18.170000000000002"/>
    <m/>
    <n v="0"/>
    <n v="18.170000000000002"/>
    <s v="done"/>
    <n v="2921072"/>
    <x v="0"/>
    <n v="4"/>
    <d v="2022-09-12T00:00:00"/>
    <d v="2026-09-11T00:00:00"/>
    <d v="2025-08-05T00:00:00"/>
    <n v="402"/>
    <x v="1"/>
    <x v="2"/>
    <s v="DFIPL Purchase"/>
    <s v="DFIPL Purchase"/>
    <m/>
    <s v="NR"/>
    <m/>
  </r>
  <r>
    <n v="110"/>
    <s v="ACME Paint Hardtop XP, Part B Perky Blue Ral-5015"/>
    <s v="Hardtop XP Comp B"/>
    <s v="B"/>
    <s v="L"/>
    <n v="1.8"/>
    <n v="1"/>
    <n v="1.8"/>
    <m/>
    <n v="0"/>
    <n v="1.8"/>
    <s v="done"/>
    <n v="2934027"/>
    <x v="0"/>
    <n v="4"/>
    <d v="2022-09-23T00:00:00"/>
    <d v="2026-09-22T00:00:00"/>
    <d v="2025-08-05T00:00:00"/>
    <n v="413"/>
    <x v="1"/>
    <x v="2"/>
    <s v="DFIPL Purchase"/>
    <s v="DFIPL Purchase"/>
    <m/>
    <s v="NR"/>
    <m/>
  </r>
  <r>
    <n v="61"/>
    <s v="Penguard Express Grey Part B (4 Ltr)"/>
    <s v="Penguard Express Comp B"/>
    <s v="B"/>
    <s v="L"/>
    <n v="4"/>
    <n v="8"/>
    <n v="32"/>
    <m/>
    <n v="0"/>
    <n v="32"/>
    <s v="done"/>
    <n v="3690471"/>
    <x v="0"/>
    <n v="4"/>
    <d v="2024-10-17T00:00:00"/>
    <d v="2026-10-17T00:00:00"/>
    <d v="2025-08-05T00:00:00"/>
    <n v="438"/>
    <x v="1"/>
    <x v="2"/>
    <s v="DFIPL Purchase"/>
    <s v="DFIPL Purchase"/>
    <m/>
    <s v="NR"/>
    <m/>
  </r>
  <r>
    <n v="82"/>
    <s v="Hempathane HS 55610 A"/>
    <s v="Hempathane HS 55610 RAL 7035"/>
    <s v="A"/>
    <s v="L"/>
    <n v="17.5"/>
    <n v="8"/>
    <n v="140"/>
    <m/>
    <n v="0"/>
    <n v="140"/>
    <s v="done"/>
    <n v="74095319"/>
    <x v="6"/>
    <n v="4"/>
    <d v="2024-10-17T00:00:00"/>
    <d v="2026-10-17T00:00:00"/>
    <d v="2025-08-05T00:00:00"/>
    <n v="438"/>
    <x v="1"/>
    <x v="2"/>
    <s v="Customer"/>
    <e v="#N/A"/>
    <m/>
    <s v="NR"/>
    <s v="AYANA 364 TN 01 S1, ADANI TN 19 SG3"/>
  </r>
  <r>
    <n v="109"/>
    <s v="Senvion HARDTOP XP RAL 9002 A 18.2L"/>
    <s v="Hardtop XP Base 1A RAL 9002"/>
    <s v="A"/>
    <s v="L"/>
    <n v="16.47"/>
    <n v="1"/>
    <n v="16.47"/>
    <m/>
    <n v="0"/>
    <n v="16.47"/>
    <s v="done"/>
    <n v="2994594"/>
    <x v="0"/>
    <n v="4"/>
    <d v="2022-11-29T00:00:00"/>
    <d v="2026-11-28T00:00:00"/>
    <d v="2025-08-05T00:00:00"/>
    <n v="480"/>
    <x v="1"/>
    <x v="2"/>
    <s v="DFIPL Purchase"/>
    <s v="DFIPL Purchase"/>
    <m/>
    <s v="NR"/>
    <m/>
  </r>
  <r>
    <n v="207"/>
    <s v="Senvion HARDTOP XP RAL 9002 A 18.2L"/>
    <s v="Hardtop XP RAL 9002"/>
    <s v="A"/>
    <s v="L"/>
    <n v="18.2"/>
    <n v="1"/>
    <n v="18.2"/>
    <m/>
    <n v="0"/>
    <n v="18.2"/>
    <s v="done"/>
    <n v="3014769"/>
    <x v="1"/>
    <n v="2"/>
    <d v="2022-12-21T00:00:00"/>
    <d v="2026-12-20T00:00:00"/>
    <d v="2025-08-05T00:00:00"/>
    <n v="502"/>
    <x v="1"/>
    <x v="2"/>
    <s v="DFIPL Purchase"/>
    <s v="DFIPL Purchase"/>
    <m/>
    <s v="NR"/>
    <m/>
  </r>
  <r>
    <n v="137"/>
    <s v="Hempal Curing Agent 95043 B"/>
    <s v="Hempel Curing agent 97043"/>
    <s v="B"/>
    <s v="L"/>
    <n v="1.5"/>
    <n v="12"/>
    <n v="18"/>
    <m/>
    <n v="0"/>
    <n v="18"/>
    <s v="done"/>
    <n v="604120644"/>
    <x v="6"/>
    <n v="1"/>
    <d v="2024-12-24T00:00:00"/>
    <d v="2026-12-24T00:00:00"/>
    <d v="2025-08-05T00:00:00"/>
    <n v="506"/>
    <x v="1"/>
    <x v="2"/>
    <s v="Customer"/>
    <e v="#N/A"/>
    <m/>
    <s v="NR"/>
    <m/>
  </r>
  <r>
    <n v="205"/>
    <s v="Senvion HARDTOP XP RAL 7035 A 18.2L"/>
    <s v="Hardtop XP RAL 7035 A"/>
    <s v="A"/>
    <s v="L"/>
    <n v="18.2"/>
    <n v="3"/>
    <n v="54.599999999999994"/>
    <m/>
    <n v="0"/>
    <n v="54.599999999999994"/>
    <s v="done"/>
    <n v="3917944"/>
    <x v="1"/>
    <n v="2"/>
    <d v="2022-12-27T00:00:00"/>
    <d v="2026-12-26T00:00:00"/>
    <d v="2025-08-05T00:00:00"/>
    <n v="508"/>
    <x v="1"/>
    <x v="2"/>
    <s v="DFIPL Purchase"/>
    <s v="DFIPL Purchase"/>
    <m/>
    <s v="NR"/>
    <m/>
  </r>
  <r>
    <n v="111"/>
    <s v="Hardtop XP Comp B RAL 6029 Mint Green - 1.80 Ltrs."/>
    <s v="Hardtop XP B 6029"/>
    <s v="B"/>
    <s v="L"/>
    <n v="1.8"/>
    <n v="1"/>
    <n v="1.8"/>
    <m/>
    <n v="0"/>
    <n v="1.8"/>
    <s v="done"/>
    <n v="3019219"/>
    <x v="0"/>
    <n v="4"/>
    <d v="2022-12-28T00:00:00"/>
    <d v="2026-12-27T00:00:00"/>
    <d v="2025-08-05T00:00:00"/>
    <n v="509"/>
    <x v="1"/>
    <x v="2"/>
    <s v="DFIPL Purchase"/>
    <s v="DFIPL Purchase"/>
    <m/>
    <s v="NR"/>
    <m/>
  </r>
  <r>
    <n v="187"/>
    <s v="Hardtop XP Comp B RAL 9018"/>
    <s v="Hardtop XP Comp B"/>
    <s v="B"/>
    <s v="L"/>
    <n v="1.8"/>
    <n v="3"/>
    <n v="5.4"/>
    <m/>
    <n v="0"/>
    <n v="5.4"/>
    <s v="done"/>
    <n v="3021816"/>
    <x v="1"/>
    <n v="2"/>
    <d v="2022-12-30T00:00:00"/>
    <d v="2026-12-29T00:00:00"/>
    <d v="2025-08-05T00:00:00"/>
    <n v="511"/>
    <x v="1"/>
    <x v="2"/>
    <s v="DFIPL Purchase"/>
    <s v="DFIPL Purchase"/>
    <m/>
    <s v="NR"/>
    <m/>
  </r>
  <r>
    <n v="175"/>
    <s v="Penguard Express Gray Part A (16 Ltr)"/>
    <s v="Penguard Express Grey"/>
    <s v="A"/>
    <s v="L"/>
    <n v="16"/>
    <n v="20"/>
    <n v="320"/>
    <n v="10"/>
    <n v="160"/>
    <n v="160"/>
    <s v="done"/>
    <n v="3785011"/>
    <x v="1"/>
    <n v="2"/>
    <d v="2025-01-03T00:00:00"/>
    <d v="2027-01-03T00:00:00"/>
    <d v="2025-08-05T00:00:00"/>
    <n v="516"/>
    <x v="1"/>
    <x v="2"/>
    <s v="DFIPL Purchase"/>
    <s v="DFIPL Purchase"/>
    <m/>
    <s v="NR"/>
    <s v="SGRE 620173 S3 DT. 02.08.2025"/>
  </r>
  <r>
    <n v="178"/>
    <s v="Penguard Express Grey Part B (4 Ltr)"/>
    <s v="Penguard Express Comp B"/>
    <s v="B"/>
    <s v="L"/>
    <n v="4"/>
    <n v="30"/>
    <n v="120"/>
    <n v="1"/>
    <n v="4"/>
    <n v="116"/>
    <s v="done"/>
    <n v="3785028"/>
    <x v="1"/>
    <n v="2"/>
    <d v="2025-01-03T00:00:00"/>
    <d v="2027-01-03T00:00:00"/>
    <d v="2025-08-05T00:00:00"/>
    <n v="516"/>
    <x v="1"/>
    <x v="2"/>
    <s v="DFIPL Purchase"/>
    <s v="DFIPL Purchase"/>
    <m/>
    <s v="NR"/>
    <s v="SGRE 620173 S3 DT. 02.08.2025"/>
  </r>
  <r>
    <n v="181"/>
    <s v="Penguard Express Grey Part B (4 Ltr)"/>
    <s v="Penguard Express Comp B"/>
    <s v="B"/>
    <s v="L"/>
    <n v="16"/>
    <n v="2"/>
    <n v="32"/>
    <m/>
    <n v="0"/>
    <n v="32"/>
    <s v="done"/>
    <n v="3785028"/>
    <x v="4"/>
    <n v="2"/>
    <d v="2025-01-03T00:00:00"/>
    <d v="2027-01-03T00:00:00"/>
    <d v="2025-08-05T00:00:00"/>
    <n v="516"/>
    <x v="1"/>
    <x v="2"/>
    <s v="Customer"/>
    <m/>
    <m/>
    <s v="NR"/>
    <m/>
  </r>
  <r>
    <n v="158"/>
    <s v="Paint Penguard Express CF RAL 1013 Part A"/>
    <s v="Penguard Express CF RAL 1013"/>
    <s v="A"/>
    <s v="L"/>
    <n v="16"/>
    <n v="23"/>
    <n v="368"/>
    <m/>
    <n v="0"/>
    <n v="368"/>
    <s v="done"/>
    <n v="3791386"/>
    <x v="1"/>
    <n v="2"/>
    <d v="2025-01-09T00:00:00"/>
    <d v="2027-01-09T00:00:00"/>
    <d v="2025-08-05T00:00:00"/>
    <n v="522"/>
    <x v="1"/>
    <x v="2"/>
    <s v="DFIPL Purchase"/>
    <s v="DFIPL Purchase"/>
    <m/>
    <s v="NR"/>
    <m/>
  </r>
  <r>
    <n v="172"/>
    <s v="Penguard Express Gray Part A (16 Ltr)"/>
    <s v="Penguard Express Grey"/>
    <s v="A"/>
    <s v="L"/>
    <n v="16"/>
    <n v="11"/>
    <n v="176"/>
    <m/>
    <n v="0"/>
    <n v="176"/>
    <s v="done"/>
    <n v="3794353"/>
    <x v="1"/>
    <n v="2"/>
    <d v="2025-01-11T00:00:00"/>
    <d v="2027-01-11T00:00:00"/>
    <d v="2025-08-05T00:00:00"/>
    <n v="524"/>
    <x v="1"/>
    <x v="2"/>
    <s v="DFIPL Purchase"/>
    <s v="DFIPL Purchase"/>
    <m/>
    <s v="NR"/>
    <m/>
  </r>
  <r>
    <n v="147"/>
    <s v="Paint Barrier 80 Part B"/>
    <s v="Barrier 80 S Gray B"/>
    <s v="B"/>
    <s v="L"/>
    <n v="1.25"/>
    <n v="15"/>
    <n v="18.75"/>
    <m/>
    <n v="0"/>
    <n v="18.75"/>
    <s v="done"/>
    <n v="3794316"/>
    <x v="8"/>
    <n v="1"/>
    <d v="2025-01-11T00:00:00"/>
    <d v="2027-01-11T00:00:00"/>
    <d v="2025-08-05T00:00:00"/>
    <n v="524"/>
    <x v="1"/>
    <x v="2"/>
    <s v="DFIPL Purchase"/>
    <s v="DFIPL Purchase"/>
    <m/>
    <s v="NR"/>
    <s v="ACME TN 7 S4, ACME TN 7 S3"/>
  </r>
  <r>
    <n v="83"/>
    <s v="Hempal Curing Agent 97043 B"/>
    <s v="Hempel Curing agent 97043"/>
    <s v="B"/>
    <s v="L"/>
    <n v="1.5"/>
    <n v="49"/>
    <n v="73.5"/>
    <m/>
    <n v="0"/>
    <n v="73.5"/>
    <s v="done"/>
    <n v="75015129"/>
    <x v="6"/>
    <n v="4"/>
    <d v="2025-01-13T00:00:00"/>
    <d v="2027-01-13T00:00:00"/>
    <d v="2025-08-05T00:00:00"/>
    <n v="526"/>
    <x v="1"/>
    <x v="2"/>
    <s v="Customer"/>
    <e v="#N/A"/>
    <m/>
    <s v="NR"/>
    <s v="ADANI TN 19 SG2, ADANI TN 19 SG3, ADANI TN 19 SG1"/>
  </r>
  <r>
    <n v="140"/>
    <s v="Penguard Express Gray Part A (16 Ltr)"/>
    <s v="Penguard Express Grey"/>
    <s v="A"/>
    <s v="L"/>
    <n v="16"/>
    <n v="0"/>
    <n v="0"/>
    <m/>
    <n v="0"/>
    <n v="0"/>
    <s v="done"/>
    <n v="3813700"/>
    <x v="8"/>
    <n v="1"/>
    <d v="2025-01-31T00:00:00"/>
    <d v="2027-01-31T00:00:00"/>
    <d v="2025-08-05T00:00:00"/>
    <n v="544"/>
    <x v="1"/>
    <x v="2"/>
    <s v="DFIPL Purchase"/>
    <s v="DFIPL Purchase"/>
    <m/>
    <s v="NR"/>
    <m/>
  </r>
  <r>
    <n v="18"/>
    <s v="Penguard Express Gray Part A (16 Ltr)"/>
    <s v="Penguard Express Grey"/>
    <s v="A"/>
    <s v="L"/>
    <n v="16"/>
    <n v="1"/>
    <n v="16"/>
    <m/>
    <n v="0"/>
    <n v="16"/>
    <s v="done"/>
    <n v="3828209"/>
    <x v="9"/>
    <n v="3"/>
    <d v="2025-02-15T00:00:00"/>
    <d v="2027-02-15T00:00:00"/>
    <d v="2025-08-05T00:00:00"/>
    <n v="559"/>
    <x v="1"/>
    <x v="2"/>
    <s v="DFIPL Purchase"/>
    <s v="DFIPL Purchase"/>
    <m/>
    <s v="NR"/>
    <s v="WELSPUN TN 5 S5, WELSPUN TN 6 S3, WELSPUN TN 6 S5, WELSPUN TN 6 S4"/>
  </r>
  <r>
    <n v="38"/>
    <s v="Penguard Express Grey Part B (4 Ltr)"/>
    <s v="Penguard Express Comp B"/>
    <s v="B"/>
    <s v="L"/>
    <n v="4"/>
    <n v="1"/>
    <n v="4"/>
    <m/>
    <n v="0"/>
    <n v="4"/>
    <s v="done"/>
    <n v="3828327"/>
    <x v="0"/>
    <n v="3"/>
    <d v="2025-02-15T00:00:00"/>
    <d v="2027-02-15T00:00:00"/>
    <d v="2025-08-05T00:00:00"/>
    <n v="559"/>
    <x v="1"/>
    <x v="2"/>
    <s v="DFIPL Purchase"/>
    <s v="DFIPL Purchase"/>
    <m/>
    <s v="NR"/>
    <m/>
  </r>
  <r>
    <n v="139"/>
    <s v="Penguard Express Gray Part A (16 Ltr)"/>
    <s v="Penguard Express Grey"/>
    <s v="A"/>
    <s v="L"/>
    <n v="16"/>
    <n v="0"/>
    <n v="0"/>
    <m/>
    <n v="0"/>
    <n v="0"/>
    <s v="done"/>
    <n v="3827803"/>
    <x v="8"/>
    <n v="1"/>
    <d v="2025-02-15T00:00:00"/>
    <d v="2027-02-15T00:00:00"/>
    <d v="2025-08-05T00:00:00"/>
    <n v="559"/>
    <x v="1"/>
    <x v="2"/>
    <s v="DFIPL Purchase"/>
    <s v="DFIPL Purchase"/>
    <m/>
    <s v="NR"/>
    <m/>
  </r>
  <r>
    <n v="141"/>
    <s v="Penguard Express Gray Part A (16 Ltr)"/>
    <s v="Penguard Express Grey"/>
    <s v="A"/>
    <s v="L"/>
    <n v="16"/>
    <n v="1"/>
    <n v="16"/>
    <n v="1"/>
    <n v="16"/>
    <n v="0"/>
    <s v="done"/>
    <n v="3828209"/>
    <x v="8"/>
    <n v="1"/>
    <d v="2025-02-15T00:00:00"/>
    <d v="2027-02-15T00:00:00"/>
    <d v="2025-08-05T00:00:00"/>
    <n v="559"/>
    <x v="1"/>
    <x v="2"/>
    <s v="DFIPL Purchase"/>
    <s v="DFIPL Purchase"/>
    <m/>
    <s v="NR"/>
    <m/>
  </r>
  <r>
    <n v="116"/>
    <s v="Renew HARDTOP WT8 RAL 7035 A 4.17 L"/>
    <s v="Hardtop WT8 RAL 7035"/>
    <s v="A"/>
    <s v="L"/>
    <n v="4.17"/>
    <n v="1"/>
    <n v="4.17"/>
    <m/>
    <n v="0"/>
    <n v="4.17"/>
    <s v="done"/>
    <n v="3069140"/>
    <x v="8"/>
    <n v="4"/>
    <d v="2023-02-23T00:00:00"/>
    <d v="2027-02-22T00:00:00"/>
    <d v="2025-08-05T00:00:00"/>
    <n v="566"/>
    <x v="1"/>
    <x v="2"/>
    <s v="DFIPL Purchase"/>
    <s v="DFIPL Purchase"/>
    <s v="NEED TO CONFIRM PROJECT NAME"/>
    <s v="System"/>
    <m/>
  </r>
  <r>
    <n v="113"/>
    <s v="Renew HARDTOP WT8 RAL 7035 B 0.83 L"/>
    <s v="Hardtop WT8 Comp B"/>
    <s v="B"/>
    <s v="L"/>
    <n v="0.83"/>
    <n v="1"/>
    <n v="0.83"/>
    <m/>
    <n v="0"/>
    <n v="0.83"/>
    <s v="done"/>
    <n v="3070505"/>
    <x v="0"/>
    <n v="4"/>
    <d v="2023-02-24T00:00:00"/>
    <d v="2027-02-23T00:00:00"/>
    <d v="2025-08-05T00:00:00"/>
    <n v="567"/>
    <x v="1"/>
    <x v="2"/>
    <s v="DFIPL Purchase"/>
    <s v="DFIPL Purchase"/>
    <m/>
    <s v="NR"/>
    <m/>
  </r>
  <r>
    <n v="120"/>
    <s v="Paint Penguard Express RAL 7035 Comp A"/>
    <s v="Penguard Express RAL 7035"/>
    <s v="A"/>
    <s v="L"/>
    <n v="16"/>
    <n v="55"/>
    <n v="880"/>
    <n v="34"/>
    <n v="544"/>
    <n v="336"/>
    <s v="done"/>
    <n v="3853084"/>
    <x v="8"/>
    <n v="1"/>
    <d v="2025-03-11T00:00:00"/>
    <d v="2027-03-11T00:00:00"/>
    <d v="2025-08-05T00:00:00"/>
    <n v="583"/>
    <x v="1"/>
    <x v="2"/>
    <s v="DFIPL Purchase"/>
    <s v="DFIPL Purchase"/>
    <m/>
    <s v="NR"/>
    <s v="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r>
  <r>
    <n v="112"/>
    <s v="Senvion /Renew Hardtop WT8 RAL 7035 Part B"/>
    <s v="Hardtop WT8 Comp B"/>
    <s v="B"/>
    <s v="L"/>
    <n v="3.3"/>
    <n v="9"/>
    <n v="29.7"/>
    <m/>
    <n v="0"/>
    <n v="29.7"/>
    <s v="done"/>
    <n v="3092173"/>
    <x v="0"/>
    <n v="4"/>
    <d v="2023-03-16T00:00:00"/>
    <d v="2027-03-15T00:00:00"/>
    <d v="2025-08-05T00:00:00"/>
    <n v="587"/>
    <x v="1"/>
    <x v="2"/>
    <s v="DFIPL Purchase"/>
    <s v="DFIPL Purchase"/>
    <m/>
    <s v="NR"/>
    <m/>
  </r>
  <r>
    <n v="118"/>
    <s v="Jotun Thinner No.10"/>
    <s v="Jotun Thinner No. 10"/>
    <m/>
    <s v="L"/>
    <n v="5"/>
    <n v="2"/>
    <n v="10"/>
    <m/>
    <n v="0"/>
    <n v="10"/>
    <s v="done"/>
    <n v="3103737"/>
    <x v="0"/>
    <n v="4"/>
    <d v="2023-03-28T00:00:00"/>
    <d v="2027-03-27T00:00:00"/>
    <d v="2025-08-05T00:00:00"/>
    <n v="599"/>
    <x v="1"/>
    <x v="2"/>
    <s v="DFIPL Purchase"/>
    <s v="DFIPL Purchase"/>
    <m/>
    <s v="NR"/>
    <m/>
  </r>
  <r>
    <n v="188"/>
    <s v="Hardtop XP Comp B RAL 9018"/>
    <s v="Hardtop XP Comp B"/>
    <s v="B"/>
    <s v="L"/>
    <n v="1.8"/>
    <n v="3"/>
    <n v="5.4"/>
    <m/>
    <n v="0"/>
    <n v="5.4"/>
    <s v="done"/>
    <n v="3113974"/>
    <x v="1"/>
    <n v="2"/>
    <d v="2023-04-07T00:00:00"/>
    <d v="2027-04-06T00:00:00"/>
    <d v="2025-08-05T00:00:00"/>
    <n v="609"/>
    <x v="1"/>
    <x v="2"/>
    <s v="DFIPL Purchase"/>
    <s v="DFIPL Purchase"/>
    <m/>
    <s v="NR"/>
    <m/>
  </r>
  <r>
    <n v="143"/>
    <s v="Penguard Express Gray Part A (16 Ltr)"/>
    <s v="Penguard Express Grey"/>
    <s v="A"/>
    <s v="L"/>
    <n v="16"/>
    <n v="115"/>
    <n v="1840"/>
    <n v="93"/>
    <n v="1488"/>
    <n v="352"/>
    <s v="done"/>
    <n v="3880190"/>
    <x v="8"/>
    <n v="1"/>
    <d v="2025-04-08T00:00:00"/>
    <d v="2027-04-08T00:00:00"/>
    <d v="2025-08-05T00:00:00"/>
    <n v="611"/>
    <x v="1"/>
    <x v="2"/>
    <s v="DFIPL Purchase"/>
    <s v="DFIPL Purchase"/>
    <m/>
    <s v="NR"/>
    <s v="ACME TN 7 - S4, ACME TN 7 S3, ACME TN 7 S5, ACME TN 8 S4 DT. 14.07.2025, ACME TN 8 S3 DT. 18.07.2025, ACME TN 8 S3 DT. 19.07.2025, ACME TN 9 S3 DT. 22.07.2025, ACME TN 9 S4 DT. 23.07.2025, ACME TN 9 S2 DT. 26.07.2025, ACME TN 9 S5 DT. 27.07.2025, ACME TN 10 S4 DT. 30.07.2025, ACME TN 10 S2 DT. 04.08.2025, ACME TN 8 S1 DT. 05.08.2025"/>
  </r>
  <r>
    <n v="72"/>
    <s v="Barrier 80X A"/>
    <s v="Jotun Barrier 80 X Comp B"/>
    <s v="B"/>
    <s v="L"/>
    <n v="1.8"/>
    <n v="39"/>
    <n v="70.2"/>
    <m/>
    <n v="0"/>
    <n v="70.2"/>
    <s v="done"/>
    <n v="3882754"/>
    <x v="7"/>
    <n v="4"/>
    <d v="2025-04-09T00:00:00"/>
    <d v="2027-04-09T00:00:00"/>
    <d v="2025-08-05T00:00:00"/>
    <n v="612"/>
    <x v="1"/>
    <x v="2"/>
    <s v="Customer"/>
    <e v="#N/A"/>
    <s v="3882754 need to check batch number again 73"/>
    <s v="correction done"/>
    <m/>
  </r>
  <r>
    <n v="136"/>
    <s v="Hempathane HS 55610 A"/>
    <s v="Hempathane HS 55610"/>
    <s v="A"/>
    <s v="L"/>
    <n v="17.5"/>
    <n v="57"/>
    <n v="997.5"/>
    <m/>
    <n v="0"/>
    <n v="997.5"/>
    <s v="done"/>
    <n v="75035282"/>
    <x v="6"/>
    <n v="1"/>
    <d v="2025-04-14T00:00:00"/>
    <d v="2027-04-14T00:00:00"/>
    <d v="2025-08-05T00:00:00"/>
    <n v="617"/>
    <x v="1"/>
    <x v="2"/>
    <s v="Customer"/>
    <e v="#N/A"/>
    <m/>
    <s v="NR"/>
    <s v="ADANI TN 19 SG2, ADANI TN 19 SG4, ADANI TN 19 SG1"/>
  </r>
  <r>
    <n v="122"/>
    <s v="Penguard Express Grey Part B (4 Ltr)"/>
    <s v="Penguard Express Comp B"/>
    <s v="B"/>
    <s v="L"/>
    <n v="4"/>
    <n v="235"/>
    <n v="940"/>
    <n v="101"/>
    <n v="404"/>
    <n v="536"/>
    <s v="done"/>
    <n v="3888650"/>
    <x v="8"/>
    <n v="1"/>
    <d v="2025-04-16T00:00:00"/>
    <d v="2027-04-16T00:00:00"/>
    <d v="2025-08-05T00:00:00"/>
    <n v="619"/>
    <x v="1"/>
    <x v="2"/>
    <s v="DFIPL Purchase"/>
    <s v="DFIPL Purchase"/>
    <m/>
    <s v="NR"/>
    <s v="ACME TN 7 S4, ACME TN 7 S3, ACME TN 8 S2, ACME TN 8 S4 DT. 14.07.2025, ACME TN 8 S4 DT. 15.07.2025, ACME TN 8 S5 DT. 16.07.2025, ACME TN 8 S3 DT. 18.07.2025, ACME TN 8 S3 DT. 19.07.2025, ACME TN 9 S3 DT. 22.07.2025, 23.07.2025, ACME TN 9 S4 DT. 23.07.2025, ACME TN 9 S2 DT.26.07.2025, ACME TN 9 S5 DT. 27.07.2025, ACME TN 9 S5 DT. 27.07.2025, ACME TN 10 S4 DT. 30.07.2025, ACME TN 10 S2 DT. 04.08.2025, ACME TN 8 S1 DT. 05.08.2025"/>
  </r>
  <r>
    <n v="126"/>
    <s v="Penguard Express Grey Part B (4 Ltr)"/>
    <s v="Penguard Express Comp B"/>
    <s v="B"/>
    <s v="L"/>
    <n v="4"/>
    <n v="0"/>
    <n v="0"/>
    <m/>
    <n v="0"/>
    <n v="0"/>
    <s v="done"/>
    <n v="3888781"/>
    <x v="8"/>
    <n v="1"/>
    <d v="2025-04-16T00:00:00"/>
    <d v="2027-04-16T00:00:00"/>
    <d v="2025-08-05T00:00:00"/>
    <n v="619"/>
    <x v="1"/>
    <x v="2"/>
    <s v="DFIPL Purchase"/>
    <s v="DFIPL Purchase"/>
    <m/>
    <s v="NR"/>
    <m/>
  </r>
  <r>
    <n v="142"/>
    <s v="Penguard Express Gray Part A (16 Ltr)"/>
    <s v="Penguard Express Grey"/>
    <s v="A"/>
    <s v="L"/>
    <n v="16"/>
    <n v="69"/>
    <n v="1104"/>
    <m/>
    <n v="0"/>
    <n v="1104"/>
    <s v="done"/>
    <n v="3888540"/>
    <x v="8"/>
    <n v="1"/>
    <d v="2025-04-16T00:00:00"/>
    <d v="2027-04-16T00:00:00"/>
    <d v="2025-08-05T00:00:00"/>
    <n v="619"/>
    <x v="1"/>
    <x v="2"/>
    <s v="DFIPL Purchase"/>
    <s v="DFIPL Purchase"/>
    <m/>
    <s v="NR"/>
    <m/>
  </r>
  <r>
    <n v="20"/>
    <s v="Penguard Express Ral 9018 (Part A)"/>
    <s v="Penguard Express RAL 9018"/>
    <s v="A"/>
    <s v="L"/>
    <n v="16"/>
    <n v="2"/>
    <n v="32"/>
    <n v="2"/>
    <n v="32"/>
    <n v="0"/>
    <s v="done"/>
    <n v="3923183"/>
    <x v="9"/>
    <n v="3"/>
    <d v="2025-05-17T00:00:00"/>
    <d v="2027-05-17T00:00:00"/>
    <d v="2025-08-05T00:00:00"/>
    <n v="650"/>
    <x v="1"/>
    <x v="2"/>
    <s v="DFIPL Purchase"/>
    <s v="DFIPL Purchase"/>
    <m/>
    <s v="NR"/>
    <s v="WELSPUN TN 6 S3, WELSPUN TN 6 S5, WELSPUN TN 6 S4, WELSPUN TN 7 S4 DT. 28.07.2025  "/>
  </r>
  <r>
    <n v="11"/>
    <s v="Penguard Express Grey Part B (4 Ltr)"/>
    <s v="Penguard Express B Gray"/>
    <s v="B "/>
    <s v="L"/>
    <n v="4"/>
    <n v="236"/>
    <n v="944"/>
    <n v="60"/>
    <n v="240"/>
    <n v="704"/>
    <s v="done"/>
    <n v="3923488"/>
    <x v="9"/>
    <n v="3"/>
    <d v="2025-05-19T00:00:00"/>
    <d v="2027-05-19T00:00:00"/>
    <d v="2025-08-05T00:00:00"/>
    <n v="652"/>
    <x v="1"/>
    <x v="2"/>
    <s v="DFIPL Purchase"/>
    <s v="DFIPL Purchase"/>
    <m/>
    <s v="NR"/>
    <s v="WELSPUN TN 6 S3, WELSPUN TN 7 S3 DT. 27.07.2025, WELSPUN TN 7 S5 DT. 01.08.2025"/>
  </r>
  <r>
    <n v="12"/>
    <s v="Penguard Express Ral 9018 (Part B)"/>
    <s v="Penguard Express Comp B"/>
    <s v="B "/>
    <s v="L"/>
    <n v="4"/>
    <n v="2"/>
    <n v="8"/>
    <m/>
    <n v="0"/>
    <n v="8"/>
    <s v="done"/>
    <n v="3923489"/>
    <x v="9"/>
    <n v="3"/>
    <d v="2025-05-19T00:00:00"/>
    <d v="2027-05-19T00:00:00"/>
    <d v="2025-08-05T00:00:00"/>
    <n v="652"/>
    <x v="1"/>
    <x v="2"/>
    <s v="DFIPL Purchase"/>
    <s v="DFIPL Purchase"/>
    <m/>
    <s v="NR"/>
    <s v="WELSPUN TN 6 S5 "/>
  </r>
  <r>
    <n v="21"/>
    <s v="Penguard Express Ral 9018 (Part A)"/>
    <s v="Penguard Express RAL 9018"/>
    <s v="A"/>
    <s v="L"/>
    <n v="16"/>
    <n v="67"/>
    <n v="1072"/>
    <n v="15"/>
    <n v="240"/>
    <n v="832"/>
    <s v="done"/>
    <n v="3924941"/>
    <x v="9"/>
    <n v="3"/>
    <d v="2025-05-19T00:00:00"/>
    <d v="2027-05-19T00:00:00"/>
    <d v="2025-08-05T00:00:00"/>
    <n v="652"/>
    <x v="1"/>
    <x v="2"/>
    <s v="DFIPL Purchase"/>
    <s v="DFIPL Purchase"/>
    <m/>
    <s v="NR"/>
    <s v="WELSPUN TN 6 S1 DT. 15.07.2025, WELSPUN TN 7 S3 DT. 25.07.2025, WELSPUN TN 7 S2 DT. 24.07.2025, WELSPUN TN 7 S3 DT. 27.07.2025, WELSPUN TN 7 S4 DT. 28.07.2025, WELSPUN TN 7 S5 DT. 01.08.2025"/>
  </r>
  <r>
    <n v="39"/>
    <s v="Penguard Express Ral 9018 (Part B)"/>
    <s v="Penguard Express 9018 B"/>
    <s v="B"/>
    <s v="L"/>
    <n v="4"/>
    <n v="14"/>
    <n v="56"/>
    <n v="11"/>
    <n v="44"/>
    <n v="12"/>
    <s v="done"/>
    <n v="3923488"/>
    <x v="9"/>
    <n v="3"/>
    <d v="2025-05-19T00:00:00"/>
    <d v="2027-05-19T00:00:00"/>
    <d v="2025-08-05T00:00:00"/>
    <n v="652"/>
    <x v="1"/>
    <x v="2"/>
    <s v="DFIPL Purchase"/>
    <s v="DFIPL Purchase"/>
    <m/>
    <s v="NR"/>
    <s v="WELSPUN TN 6 S4 AND S5, WELSPUN TN 6 S1 DT. 15.07.2025, WELSPUN TN 6 S1 DT. 15.07.2025, WELSPUN TN 7 S3 DT. 25.07.2025, WELSPUN TN 7 S2 DT. 24.07.2025, WELSPUN TN 7 S4 DT. 28.07.2025, WELSPUN TN 7 S5 DT. 01.08.2025"/>
  </r>
  <r>
    <n v="94"/>
    <s v="Penguard Express Ral 9018 (Part B)"/>
    <s v="Penguard Express 9018 B"/>
    <s v="B"/>
    <s v="L"/>
    <n v="4"/>
    <n v="42"/>
    <n v="168"/>
    <n v="13"/>
    <n v="52"/>
    <n v="116"/>
    <s v="done"/>
    <n v="3923488"/>
    <x v="9"/>
    <n v="3"/>
    <d v="2025-05-19T00:00:00"/>
    <d v="2027-05-19T00:00:00"/>
    <d v="2025-08-05T00:00:00"/>
    <n v="652"/>
    <x v="1"/>
    <x v="2"/>
    <s v="DFIPL Purchase"/>
    <s v="DFIPL Purchase"/>
    <m/>
    <s v="NR"/>
    <m/>
  </r>
  <r>
    <n v="145"/>
    <s v="Paint Barrier 80 Part A"/>
    <s v="Barrier 80s Grey"/>
    <s v="A"/>
    <s v="L"/>
    <n v="7.5"/>
    <n v="15"/>
    <n v="112.5"/>
    <m/>
    <n v="0"/>
    <n v="112.5"/>
    <s v="done"/>
    <n v="3936078"/>
    <x v="8"/>
    <n v="1"/>
    <d v="2025-05-30T00:00:00"/>
    <d v="2027-05-20T00:00:00"/>
    <d v="2025-08-05T00:00:00"/>
    <n v="653"/>
    <x v="1"/>
    <x v="2"/>
    <s v="DFIPL Purchase"/>
    <s v="DFIPL Purchase"/>
    <m/>
    <s v="NR"/>
    <s v="ACME TN 7 S4, ACME TN 7 S3"/>
  </r>
  <r>
    <n v="45"/>
    <s v="Penguard Express Gray Part A (16 Ltr)"/>
    <s v="Penguard Express Grey"/>
    <s v="A"/>
    <s v="L"/>
    <n v="16"/>
    <n v="163"/>
    <n v="2608"/>
    <n v="54"/>
    <n v="864"/>
    <n v="1744"/>
    <s v="done"/>
    <n v="3926473"/>
    <x v="9"/>
    <n v="3"/>
    <d v="2025-05-21T00:00:00"/>
    <d v="2027-05-21T00:00:00"/>
    <d v="2025-08-05T00:00:00"/>
    <n v="654"/>
    <x v="1"/>
    <x v="2"/>
    <s v="DFIPL Purchase"/>
    <s v="DFIPL Purchase"/>
    <m/>
    <s v="NR"/>
    <s v="WELSPUN TN 6 S1 DT. 15.07.2025, WELSPUN TN 7 S3 DT. 25.07.2025, WELSPUN TN 7 S2 DT. 24.07.2025, WELSPUN TN 7 S4 DT. 28.07.2025, WELSPUN TN 7 S5 DT. 01.08.2025"/>
  </r>
  <r>
    <n v="96"/>
    <s v="Penguard Express Gray Part A (16 Ltr)"/>
    <s v="Penguard Express Grey"/>
    <s v="A"/>
    <s v="L"/>
    <n v="16"/>
    <n v="60"/>
    <n v="960"/>
    <n v="16"/>
    <n v="256"/>
    <n v="704"/>
    <s v="done"/>
    <n v="3926473"/>
    <x v="9"/>
    <n v="3"/>
    <d v="2025-05-21T00:00:00"/>
    <d v="2027-05-21T00:00:00"/>
    <d v="2025-08-05T00:00:00"/>
    <n v="654"/>
    <x v="1"/>
    <x v="2"/>
    <s v="DFIPL Purchase"/>
    <s v="DFIPL Purchase"/>
    <m/>
    <s v="NR"/>
    <m/>
  </r>
  <r>
    <n v="183"/>
    <s v="Hardtop XP Comp B RAL 9018"/>
    <s v="Hardtop XP Comp B"/>
    <s v="B"/>
    <s v="L"/>
    <n v="1.8"/>
    <n v="2"/>
    <n v="3.6"/>
    <m/>
    <n v="0"/>
    <n v="3.6"/>
    <s v="done"/>
    <n v="3157411"/>
    <x v="1"/>
    <n v="2"/>
    <d v="2023-05-24T00:00:00"/>
    <d v="2027-05-23T00:00:00"/>
    <d v="2025-08-05T00:00:00"/>
    <n v="656"/>
    <x v="1"/>
    <x v="2"/>
    <s v="DFIPL Purchase"/>
    <s v="DFIPL Purchase"/>
    <m/>
    <s v="NR"/>
    <m/>
  </r>
  <r>
    <n v="157"/>
    <s v="Paint Penguard Express CF RAL 1013 Part B"/>
    <s v="Pengurad Express CF Comp B"/>
    <s v="B"/>
    <s v="L"/>
    <n v="4"/>
    <n v="23"/>
    <n v="92"/>
    <n v="3"/>
    <n v="12"/>
    <n v="80"/>
    <s v="done"/>
    <n v="3945314"/>
    <x v="1"/>
    <n v="2"/>
    <d v="2025-06-09T00:00:00"/>
    <d v="2027-06-09T00:00:00"/>
    <d v="2025-08-05T00:00:00"/>
    <n v="673"/>
    <x v="1"/>
    <x v="2"/>
    <s v="DFIPL Purchase"/>
    <s v="DFIPL Purchase"/>
    <m/>
    <s v="NR"/>
    <s v="SGRE 620173 S3 DT. 02.08.2025"/>
  </r>
  <r>
    <n v="93"/>
    <s v="Paint Penguard Express RAL 7035 Comp. B"/>
    <s v="Penguard Express Comp B"/>
    <s v="B"/>
    <s v="L"/>
    <n v="4"/>
    <n v="57"/>
    <n v="228"/>
    <n v="5"/>
    <n v="20"/>
    <n v="208"/>
    <s v="done"/>
    <n v="3945313"/>
    <x v="8"/>
    <n v="4"/>
    <d v="2025-06-09T00:00:00"/>
    <d v="2027-06-09T00:00:00"/>
    <d v="2025-08-05T00:00:00"/>
    <n v="673"/>
    <x v="1"/>
    <x v="2"/>
    <s v="DFIPL Purchase"/>
    <s v="DFIPL Purchase"/>
    <m/>
    <s v="NR"/>
    <s v="ACME TN 10 S2 DT. 04.08.2025, ACME TN 8 S1 DT. 05.08.2025"/>
  </r>
  <r>
    <n v="97"/>
    <s v="Penguard Express Gray Part A (16 Ltr)"/>
    <s v="Penguard Express Grey"/>
    <s v="A"/>
    <s v="L"/>
    <n v="16"/>
    <n v="110"/>
    <n v="1760"/>
    <m/>
    <n v="0"/>
    <n v="1760"/>
    <s v="done"/>
    <n v="3945298"/>
    <x v="8"/>
    <n v="4"/>
    <d v="2025-06-09T00:00:00"/>
    <d v="2027-06-09T00:00:00"/>
    <d v="2025-08-05T00:00:00"/>
    <n v="673"/>
    <x v="1"/>
    <x v="2"/>
    <s v="DFIPL Purchase"/>
    <s v="DFIPL Purchase"/>
    <m/>
    <s v="NR"/>
    <m/>
  </r>
  <r>
    <n v="121"/>
    <s v="Paint Penguard Express RAL 7035 Comp A"/>
    <s v="Penguard Express RAL 7035"/>
    <s v="A"/>
    <s v="L"/>
    <n v="16"/>
    <n v="27"/>
    <n v="432"/>
    <m/>
    <n v="0"/>
    <n v="432"/>
    <s v="done"/>
    <n v="3945299"/>
    <x v="8"/>
    <n v="1"/>
    <d v="2025-06-09T00:00:00"/>
    <d v="2027-06-09T00:00:00"/>
    <d v="2025-08-05T00:00:00"/>
    <n v="673"/>
    <x v="1"/>
    <x v="2"/>
    <s v="DFIPL Purchase"/>
    <s v="DFIPL Purchase"/>
    <m/>
    <s v="NR"/>
    <m/>
  </r>
  <r>
    <n v="125"/>
    <s v="Paint Penguard Express RAL 7035 Comp. B"/>
    <s v="Penguard Express Comp B"/>
    <s v="B"/>
    <s v="L"/>
    <n v="4"/>
    <n v="83"/>
    <n v="332"/>
    <n v="25"/>
    <n v="100"/>
    <n v="232"/>
    <s v="done"/>
    <n v="3945313"/>
    <x v="8"/>
    <n v="1"/>
    <d v="2025-06-09T00:00:00"/>
    <d v="2027-06-09T00:00:00"/>
    <d v="2025-08-05T00:00:00"/>
    <n v="673"/>
    <x v="1"/>
    <x v="2"/>
    <s v="DFIPL Purchase"/>
    <s v="DFIPL Purchase"/>
    <m/>
    <s v="NR"/>
    <m/>
  </r>
  <r>
    <n v="100"/>
    <s v="Jotun Thinner No.17"/>
    <s v="Jotun Thinner No. 17"/>
    <m/>
    <s v="L"/>
    <n v="20"/>
    <n v="2"/>
    <n v="40"/>
    <m/>
    <n v="0"/>
    <n v="40"/>
    <s v="done"/>
    <n v="3218585"/>
    <x v="0"/>
    <n v="4"/>
    <d v="2023-07-25T00:00:00"/>
    <d v="2027-07-24T00:00:00"/>
    <d v="2025-08-05T00:00:00"/>
    <n v="718"/>
    <x v="1"/>
    <x v="2"/>
    <s v="DFIPL Purchase"/>
    <s v="DFIPL Purchase"/>
    <m/>
    <s v="NR"/>
    <m/>
  </r>
  <r>
    <n v="171"/>
    <s v="Hardtop WT8 RAL 9018 B 3.3"/>
    <s v="Hardtop WT8 Comp B"/>
    <s v="B"/>
    <s v="L"/>
    <n v="3.3"/>
    <n v="4"/>
    <n v="13.2"/>
    <m/>
    <n v="0"/>
    <n v="13.2"/>
    <s v="done"/>
    <n v="3221566"/>
    <x v="4"/>
    <n v="2"/>
    <d v="2023-07-27T00:00:00"/>
    <d v="2027-07-26T00:00:00"/>
    <d v="2025-08-05T00:00:00"/>
    <n v="720"/>
    <x v="1"/>
    <x v="2"/>
    <s v="DFIPL Purchase"/>
    <s v="DFIPL Purchase"/>
    <s v="3221566 same as line no 180"/>
    <s v="OK checked again"/>
    <m/>
  </r>
  <r>
    <n v="213"/>
    <s v="Hardtop WT8 7035"/>
    <s v="Hardtop WT8 RAL 7035"/>
    <s v="A"/>
    <s v="L"/>
    <n v="4.17"/>
    <n v="4"/>
    <n v="16.68"/>
    <m/>
    <n v="0"/>
    <n v="16.68"/>
    <s v="done"/>
    <n v="3221542"/>
    <x v="4"/>
    <n v="2"/>
    <d v="2023-07-28T00:00:00"/>
    <d v="2027-07-27T00:00:00"/>
    <d v="2025-08-05T00:00:00"/>
    <n v="721"/>
    <x v="1"/>
    <x v="2"/>
    <s v="Customer"/>
    <e v="#N/A"/>
    <m/>
    <s v="NR"/>
    <m/>
  </r>
  <r>
    <n v="159"/>
    <s v="Jotun Thinner No.17"/>
    <s v="Jotun Thinner No. 17"/>
    <m/>
    <s v="L"/>
    <n v="20"/>
    <n v="16"/>
    <n v="320"/>
    <m/>
    <n v="0"/>
    <n v="320"/>
    <s v="done"/>
    <n v="3243690"/>
    <x v="4"/>
    <n v="2"/>
    <d v="2023-08-18T00:00:00"/>
    <d v="2027-08-17T00:00:00"/>
    <d v="2025-08-05T00:00:00"/>
    <n v="742"/>
    <x v="1"/>
    <x v="2"/>
    <s v="Customer"/>
    <m/>
    <m/>
    <s v="NR"/>
    <m/>
  </r>
  <r>
    <n v="35"/>
    <s v="Jotun Thinner No.10"/>
    <s v="Jotun Thinner no. 10"/>
    <m/>
    <s v="L"/>
    <n v="5"/>
    <n v="1"/>
    <n v="5"/>
    <m/>
    <n v="0"/>
    <n v="5"/>
    <s v="done"/>
    <n v="3260696"/>
    <x v="0"/>
    <n v="3"/>
    <d v="2023-09-06T00:00:00"/>
    <d v="2027-09-05T00:00:00"/>
    <d v="2025-08-05T00:00:00"/>
    <n v="761"/>
    <x v="1"/>
    <x v="2"/>
    <s v="DFIPL Purchase"/>
    <s v="DFIPL Purchase"/>
    <s v="need to check expiry date"/>
    <s v="correction done"/>
    <m/>
  </r>
  <r>
    <n v="34"/>
    <s v="Jotun Thinner No.17"/>
    <s v="Jotun Thinner no. 17"/>
    <m/>
    <s v="L"/>
    <n v="5"/>
    <n v="1"/>
    <n v="5"/>
    <m/>
    <n v="0"/>
    <n v="5"/>
    <s v="done"/>
    <n v="3296904"/>
    <x v="0"/>
    <n v="3"/>
    <d v="2023-10-11T00:00:00"/>
    <d v="2027-10-10T00:00:00"/>
    <d v="2025-08-05T00:00:00"/>
    <n v="796"/>
    <x v="1"/>
    <x v="2"/>
    <s v="DFIPL Purchase"/>
    <s v="DFIPL Purchase"/>
    <m/>
    <s v="NR"/>
    <m/>
  </r>
  <r>
    <n v="41"/>
    <s v="Hardtop XP Com B 7035"/>
    <s v="Hardtop XP, Comp B"/>
    <s v="B"/>
    <s v="L"/>
    <n v="1.8"/>
    <n v="3"/>
    <n v="5.4"/>
    <m/>
    <n v="0"/>
    <n v="5.4"/>
    <s v="done"/>
    <n v="3298358"/>
    <x v="7"/>
    <n v="4"/>
    <d v="2022-10-12T00:00:00"/>
    <d v="2027-10-11T00:00:00"/>
    <d v="2025-08-05T00:00:00"/>
    <n v="797"/>
    <x v="1"/>
    <x v="2"/>
    <s v="Customer"/>
    <e v="#N/A"/>
    <m/>
    <s v="NR"/>
    <m/>
  </r>
  <r>
    <n v="160"/>
    <s v="Jotun Thinner No.17"/>
    <s v="Thinner 17"/>
    <m/>
    <s v="L"/>
    <n v="20"/>
    <n v="1"/>
    <n v="20"/>
    <n v="1"/>
    <n v="20"/>
    <n v="0"/>
    <s v="done"/>
    <n v="3243690"/>
    <x v="4"/>
    <n v="2"/>
    <d v="2024-12-03T00:00:00"/>
    <d v="2028-02-02T00:00:00"/>
    <d v="2025-08-05T00:00:00"/>
    <n v="911"/>
    <x v="1"/>
    <x v="2"/>
    <s v="DFIPL Purchase"/>
    <s v="DFIPL Purchase"/>
    <m/>
    <s v="NR"/>
    <s v="SGRE 620173 S3 DT. 02.08.2025"/>
  </r>
  <r>
    <n v="29"/>
    <s v="ACME Paint Hardtop XP, Part A Perky Blue Ral-5015"/>
    <s v="Hardtop XP Base 3A"/>
    <s v="A"/>
    <s v="L"/>
    <n v="16.399999999999999"/>
    <n v="1"/>
    <n v="16.399999999999999"/>
    <m/>
    <n v="0"/>
    <n v="16.399999999999999"/>
    <s v="done"/>
    <n v="3435264"/>
    <x v="0"/>
    <n v="3"/>
    <d v="2024-02-27T00:00:00"/>
    <d v="2028-02-26T00:00:00"/>
    <d v="2025-08-05T00:00:00"/>
    <n v="935"/>
    <x v="1"/>
    <x v="2"/>
    <s v="DFIPL Purchase"/>
    <s v="DFIPL Purchase"/>
    <m/>
    <s v="NR"/>
    <m/>
  </r>
  <r>
    <n v="36"/>
    <s v="Renew HARDTOP XPF RAL 7035 B 0.45 L"/>
    <s v="Hardtop XP, Comp B"/>
    <s v="B"/>
    <s v="L"/>
    <n v="0.45"/>
    <n v="1"/>
    <n v="0.45"/>
    <m/>
    <n v="0"/>
    <n v="0.45"/>
    <s v="done"/>
    <n v="3461087"/>
    <x v="0"/>
    <n v="3"/>
    <d v="2024-03-21T00:00:00"/>
    <d v="2028-03-20T00:00:00"/>
    <d v="2025-08-05T00:00:00"/>
    <n v="958"/>
    <x v="1"/>
    <x v="2"/>
    <s v="DFIPL Purchase"/>
    <s v="DFIPL Purchase"/>
    <m/>
    <s v="NR"/>
    <m/>
  </r>
  <r>
    <n v="193"/>
    <s v="Hardtop WT8 RAL 9018 A 16.7"/>
    <s v="Hardtop WT8 RAL 9018"/>
    <s v="A"/>
    <s v="L"/>
    <n v="16.7"/>
    <n v="5"/>
    <n v="83.5"/>
    <m/>
    <n v="0"/>
    <n v="83.5"/>
    <s v="done"/>
    <n v="3463648"/>
    <x v="1"/>
    <n v="2"/>
    <d v="2024-03-22T00:00:00"/>
    <d v="2028-03-21T00:00:00"/>
    <d v="2025-08-05T00:00:00"/>
    <n v="959"/>
    <x v="1"/>
    <x v="2"/>
    <s v="DFIPL Purchase"/>
    <s v="DFIPL Purchase"/>
    <m/>
    <s v="NR"/>
    <m/>
  </r>
  <r>
    <n v="42"/>
    <s v="Hardtop XP Com B 7035"/>
    <s v="Hardtop XP Com B 7035"/>
    <s v="B"/>
    <s v="L"/>
    <n v="1.8"/>
    <n v="12"/>
    <n v="21.6"/>
    <m/>
    <n v="0"/>
    <n v="21.6"/>
    <s v="done"/>
    <n v="3559198"/>
    <x v="7"/>
    <n v="3"/>
    <d v="2024-06-26T00:00:00"/>
    <d v="2028-06-25T00:00:00"/>
    <d v="2025-08-05T00:00:00"/>
    <n v="1055"/>
    <x v="1"/>
    <x v="2"/>
    <s v="Customer"/>
    <e v="#N/A"/>
    <m/>
    <s v="NR"/>
    <m/>
  </r>
  <r>
    <n v="68"/>
    <s v="Thinner 8450"/>
    <s v="Hempel's Thinner 8450"/>
    <s v="B"/>
    <s v="L"/>
    <n v="20"/>
    <n v="3"/>
    <n v="60"/>
    <m/>
    <n v="0"/>
    <n v="60"/>
    <s v="done"/>
    <n v="73065170"/>
    <x v="6"/>
    <n v="4"/>
    <d v="2023-07-04T00:00:00"/>
    <d v="2028-07-04T00:00:00"/>
    <d v="2025-08-05T00:00:00"/>
    <n v="1064"/>
    <x v="1"/>
    <x v="2"/>
    <s v="Customer"/>
    <e v="#N/A"/>
    <m/>
    <s v="NR"/>
    <s v="ADANI TN 19 SG2"/>
  </r>
  <r>
    <n v="28"/>
    <s v="Ayana Paint Hardtop XP, Part A Oregano Green Ral-1406060"/>
    <s v="Hardtop XP Base 6A"/>
    <s v="A"/>
    <s v="L"/>
    <n v="16.399999999999999"/>
    <n v="2"/>
    <n v="32.799999999999997"/>
    <m/>
    <n v="0"/>
    <n v="32.799999999999997"/>
    <s v="done"/>
    <n v="3585994"/>
    <x v="0"/>
    <n v="3"/>
    <d v="2024-07-19T00:00:00"/>
    <d v="2028-07-18T00:00:00"/>
    <d v="2025-08-05T00:00:00"/>
    <n v="1078"/>
    <x v="1"/>
    <x v="2"/>
    <s v="DFIPL Purchase"/>
    <s v="DFIPL Purchase"/>
    <m/>
    <s v="NR"/>
    <m/>
  </r>
  <r>
    <n v="27"/>
    <s v="Ayana Paint Hardtop XP, Part A Hyacinth Blue Ral-2804045"/>
    <s v="Hardtop XP Base 6A"/>
    <s v="A"/>
    <s v="L"/>
    <n v="16.399999999999999"/>
    <n v="3"/>
    <n v="49.199999999999996"/>
    <m/>
    <n v="0"/>
    <n v="49.199999999999996"/>
    <s v="done"/>
    <n v="3586051"/>
    <x v="0"/>
    <n v="3"/>
    <d v="2024-07-20T00:00:00"/>
    <d v="2028-07-19T00:00:00"/>
    <d v="2025-08-05T00:00:00"/>
    <n v="1079"/>
    <x v="1"/>
    <x v="2"/>
    <s v="DFIPL Purchase"/>
    <s v="DFIPL Purchase"/>
    <m/>
    <s v="NR"/>
    <m/>
  </r>
  <r>
    <n v="37"/>
    <s v="HARDTOP WT8 RAL 7035 B 3.3 Ltr"/>
    <s v="Hardtop WT8, Comp B"/>
    <s v="B"/>
    <s v="L"/>
    <n v="3.3"/>
    <n v="1"/>
    <n v="3.3"/>
    <m/>
    <n v="0"/>
    <n v="3.3"/>
    <s v="done"/>
    <n v="3628964"/>
    <x v="0"/>
    <n v="3"/>
    <d v="2024-09-02T00:00:00"/>
    <d v="2028-09-01T00:00:00"/>
    <d v="2025-08-05T00:00:00"/>
    <n v="1123"/>
    <x v="1"/>
    <x v="2"/>
    <s v="DFIPL Purchase"/>
    <s v="DFIPL Purchase"/>
    <m/>
    <s v="NR"/>
    <m/>
  </r>
  <r>
    <n v="219"/>
    <s v="HARDTOP WT8 RAL 7035 A (16.7 Ltr)"/>
    <s v="Hardtop WT8 RAL 7035"/>
    <s v="A"/>
    <s v="L"/>
    <n v="16.7"/>
    <n v="2"/>
    <n v="33.4"/>
    <m/>
    <n v="0"/>
    <n v="33.4"/>
    <s v="done"/>
    <n v="3628944"/>
    <x v="1"/>
    <n v="2"/>
    <d v="2024-09-02T00:00:00"/>
    <d v="2028-09-01T00:00:00"/>
    <d v="2025-08-05T00:00:00"/>
    <n v="1123"/>
    <x v="1"/>
    <x v="2"/>
    <s v="DFIPL Purchase"/>
    <s v="DFIPL Purchase"/>
    <m/>
    <s v="NR"/>
    <m/>
  </r>
  <r>
    <n v="119"/>
    <s v="Jotun Thinner No.10"/>
    <s v="Jotun Thinner No. 10"/>
    <m/>
    <s v="L"/>
    <n v="5"/>
    <n v="1"/>
    <n v="5"/>
    <m/>
    <n v="0"/>
    <n v="5"/>
    <s v="done"/>
    <n v="3640958"/>
    <x v="0"/>
    <n v="4"/>
    <d v="2024-09-12T00:00:00"/>
    <d v="2028-09-11T00:00:00"/>
    <d v="2025-08-05T00:00:00"/>
    <n v="1133"/>
    <x v="1"/>
    <x v="2"/>
    <s v="DFIPL Purchase"/>
    <s v="DFIPL Purchase"/>
    <m/>
    <s v="NR"/>
    <m/>
  </r>
  <r>
    <n v="192"/>
    <s v="Penguard Universal 7035 A"/>
    <s v="Penguard Uni RAL 7035A"/>
    <s v="A"/>
    <s v="L"/>
    <n v="15"/>
    <n v="27"/>
    <n v="405"/>
    <m/>
    <n v="0"/>
    <n v="405"/>
    <s v="done"/>
    <n v="3641065"/>
    <x v="7"/>
    <n v="2"/>
    <d v="2024-09-12T00:00:00"/>
    <d v="2028-09-11T00:00:00"/>
    <d v="2025-08-05T00:00:00"/>
    <n v="1133"/>
    <x v="1"/>
    <x v="2"/>
    <s v="Customer"/>
    <e v="#N/A"/>
    <s v="3640966 need to check batch again 202"/>
    <s v="OK checked again"/>
    <m/>
  </r>
  <r>
    <n v="201"/>
    <s v="Penguard Universal 7035 &amp; Gray"/>
    <s v="Penguard Universal Comp B"/>
    <s v="B"/>
    <s v="L"/>
    <n v="5"/>
    <n v="3"/>
    <n v="15"/>
    <m/>
    <n v="0"/>
    <n v="15"/>
    <s v="done"/>
    <n v="3640966"/>
    <x v="7"/>
    <n v="2"/>
    <d v="2024-09-12T00:00:00"/>
    <d v="2028-09-11T00:00:00"/>
    <d v="2025-08-05T00:00:00"/>
    <n v="1133"/>
    <x v="1"/>
    <x v="2"/>
    <s v="Customer"/>
    <e v="#N/A"/>
    <s v="3640966 need to check batch again 193"/>
    <s v="OK checked again"/>
    <m/>
  </r>
  <r>
    <n v="67"/>
    <s v="Thinner 8450"/>
    <s v="Hempel's Thinner 8450"/>
    <m/>
    <s v="L"/>
    <n v="20"/>
    <n v="5"/>
    <n v="100"/>
    <m/>
    <n v="0"/>
    <n v="100"/>
    <s v="done"/>
    <n v="73095342"/>
    <x v="6"/>
    <n v="4"/>
    <d v="2023-09-27T00:00:00"/>
    <d v="2028-09-27T00:00:00"/>
    <d v="2025-08-05T00:00:00"/>
    <n v="1149"/>
    <x v="1"/>
    <x v="2"/>
    <s v="Customer"/>
    <e v="#N/A"/>
    <m/>
    <s v="NR"/>
    <s v="ADANI TN 19 SG3"/>
  </r>
  <r>
    <n v="103"/>
    <s v="Jotun Thinner No.17"/>
    <s v="Jotun Thinner No. 17"/>
    <m/>
    <s v="L"/>
    <n v="5"/>
    <n v="2"/>
    <n v="10"/>
    <m/>
    <n v="0"/>
    <n v="10"/>
    <s v="done"/>
    <n v="3687934"/>
    <x v="0"/>
    <n v="4"/>
    <d v="2024-10-15T00:00:00"/>
    <d v="2028-10-14T00:00:00"/>
    <d v="2025-08-05T00:00:00"/>
    <n v="1166"/>
    <x v="1"/>
    <x v="2"/>
    <s v="DFIPL Purchase"/>
    <s v="DFIPL Purchase"/>
    <s v="NEED TO TIN/LTR LIKELY TO BE 20 BUT MENTIONED 5"/>
    <s v="OK checked again"/>
    <m/>
  </r>
  <r>
    <n v="4"/>
    <s v="Penguard Universal 7035 &amp; Gray"/>
    <s v="Penguard Universal Comp B"/>
    <s v="B"/>
    <s v="L"/>
    <n v="5"/>
    <n v="12"/>
    <n v="60"/>
    <m/>
    <n v="0"/>
    <n v="60"/>
    <s v="done"/>
    <n v="3699099"/>
    <x v="7"/>
    <n v="3"/>
    <d v="2024-10-24T00:00:00"/>
    <d v="2028-10-23T00:00:00"/>
    <d v="2025-08-05T00:00:00"/>
    <n v="1175"/>
    <x v="1"/>
    <x v="2"/>
    <s v="Customer"/>
    <e v="#N/A"/>
    <m/>
    <s v="NR"/>
    <m/>
  </r>
  <r>
    <n v="203"/>
    <s v="Penguard Universal 7035 &amp; Gray"/>
    <s v="Penguard Universal Comp B"/>
    <s v="B"/>
    <s v="L"/>
    <n v="5"/>
    <n v="17"/>
    <n v="85"/>
    <m/>
    <n v="0"/>
    <n v="85"/>
    <s v="done"/>
    <n v="3699099"/>
    <x v="7"/>
    <n v="2"/>
    <d v="2024-10-24T00:00:00"/>
    <d v="2028-10-23T00:00:00"/>
    <d v="2025-08-05T00:00:00"/>
    <n v="1175"/>
    <x v="1"/>
    <x v="2"/>
    <s v="Customer"/>
    <e v="#N/A"/>
    <s v="need to check the batch number"/>
    <s v="OK checked again"/>
    <m/>
  </r>
  <r>
    <n v="69"/>
    <s v="Thinner 8450"/>
    <s v="Hempel's Thinner 8450"/>
    <m/>
    <s v="L"/>
    <n v="20"/>
    <n v="1"/>
    <n v="20"/>
    <m/>
    <n v="0"/>
    <n v="20"/>
    <s v="done"/>
    <n v="73105458"/>
    <x v="6"/>
    <n v="4"/>
    <d v="2023-10-30T00:00:00"/>
    <d v="2028-10-30T00:00:00"/>
    <d v="2025-08-05T00:00:00"/>
    <n v="1182"/>
    <x v="1"/>
    <x v="2"/>
    <s v="Customer"/>
    <e v="#N/A"/>
    <s v="need to check batch number again"/>
    <s v="correction done"/>
    <m/>
  </r>
  <r>
    <n v="5"/>
    <s v="Penguard Universal 7035 &amp; Gray"/>
    <s v="Penguard Universal Comp B"/>
    <s v="B"/>
    <s v="L"/>
    <n v="5"/>
    <n v="2"/>
    <n v="10"/>
    <m/>
    <n v="0"/>
    <n v="10"/>
    <s v="done"/>
    <n v="3716075"/>
    <x v="7"/>
    <n v="3"/>
    <d v="2024-11-11T00:00:00"/>
    <d v="2028-11-10T00:00:00"/>
    <d v="2025-08-05T00:00:00"/>
    <n v="1193"/>
    <x v="1"/>
    <x v="2"/>
    <s v="Customer"/>
    <e v="#N/A"/>
    <m/>
    <s v="NR"/>
    <m/>
  </r>
  <r>
    <n v="164"/>
    <s v="Thinner No.10"/>
    <s v="Jotun Thinner No. 10"/>
    <m/>
    <s v="L"/>
    <n v="20"/>
    <n v="1"/>
    <n v="20"/>
    <m/>
    <n v="0"/>
    <n v="20"/>
    <s v="done"/>
    <n v="3720679"/>
    <x v="7"/>
    <n v="2"/>
    <d v="2024-11-14T00:00:00"/>
    <d v="2028-11-13T00:00:00"/>
    <d v="2025-08-05T00:00:00"/>
    <n v="1196"/>
    <x v="1"/>
    <x v="2"/>
    <s v="Customer"/>
    <e v="#N/A"/>
    <m/>
    <s v="NR"/>
    <m/>
  </r>
  <r>
    <n v="182"/>
    <s v="Hardtop XP Comp B RAL 9018"/>
    <s v="Hardtop XP Comp B"/>
    <s v="B"/>
    <s v="L"/>
    <n v="1.8"/>
    <n v="2"/>
    <n v="3.6"/>
    <m/>
    <n v="0"/>
    <n v="3.6"/>
    <s v="done"/>
    <n v="3720780"/>
    <x v="10"/>
    <n v="2"/>
    <d v="2024-11-15T00:00:00"/>
    <d v="2028-11-14T00:00:00"/>
    <d v="2025-08-05T00:00:00"/>
    <n v="1197"/>
    <x v="1"/>
    <x v="2"/>
    <s v="DFIPL Purchase"/>
    <s v="DFIPL Purchase"/>
    <s v="need to confirm the client name"/>
    <s v="System"/>
    <m/>
  </r>
  <r>
    <n v="161"/>
    <s v="Thinner No.17"/>
    <s v="Jotun Thinner No. 17"/>
    <m/>
    <s v="L"/>
    <n v="20"/>
    <n v="9"/>
    <n v="180"/>
    <m/>
    <n v="0"/>
    <n v="180"/>
    <s v="done"/>
    <n v="3722105"/>
    <x v="7"/>
    <n v="2"/>
    <d v="2024-11-18T00:00:00"/>
    <d v="2028-11-17T00:00:00"/>
    <d v="2025-08-05T00:00:00"/>
    <n v="1200"/>
    <x v="1"/>
    <x v="2"/>
    <s v="Customer"/>
    <e v="#N/A"/>
    <m/>
    <s v="NR"/>
    <m/>
  </r>
  <r>
    <n v="186"/>
    <s v="Hardtop XP804 HR Night Blue B"/>
    <s v="Hardtop XP Comp B"/>
    <s v="B"/>
    <s v="L"/>
    <n v="0.45"/>
    <n v="1"/>
    <n v="0.45"/>
    <m/>
    <n v="0"/>
    <n v="0.45"/>
    <s v="done"/>
    <n v="3740274"/>
    <x v="7"/>
    <n v="2"/>
    <d v="2024-12-03T00:00:00"/>
    <d v="2028-12-02T00:00:00"/>
    <d v="2025-08-05T00:00:00"/>
    <n v="1215"/>
    <x v="1"/>
    <x v="2"/>
    <s v="Customer"/>
    <e v="#N/A"/>
    <m/>
    <s v="NR"/>
    <m/>
  </r>
  <r>
    <n v="218"/>
    <s v="OC2 JOTUN ZINC 100, B 2.6L"/>
    <s v="Jotun Zinc 100 Comp B"/>
    <s v="B"/>
    <s v="L"/>
    <n v="2.6"/>
    <n v="3"/>
    <n v="7.8000000000000007"/>
    <m/>
    <n v="0"/>
    <n v="7.8000000000000007"/>
    <s v="done"/>
    <n v="3786218"/>
    <x v="1"/>
    <n v="2"/>
    <d v="2025-01-06T00:00:00"/>
    <d v="2029-01-05T00:00:00"/>
    <d v="2025-08-05T00:00:00"/>
    <n v="1249"/>
    <x v="1"/>
    <x v="2"/>
    <s v="DFIPL Purchase"/>
    <s v="DFIPL Purchase"/>
    <m/>
    <s v="NR"/>
    <m/>
  </r>
  <r>
    <n v="162"/>
    <s v="Jotun Thinner No.10"/>
    <s v="Jotun Thinner No. 10"/>
    <m/>
    <s v="L"/>
    <n v="20"/>
    <n v="12"/>
    <n v="240"/>
    <n v="2"/>
    <n v="40"/>
    <n v="200"/>
    <s v="done"/>
    <n v="3785031"/>
    <x v="1"/>
    <n v="2"/>
    <d v="2025-01-07T00:00:00"/>
    <d v="2029-01-06T00:00:00"/>
    <d v="2025-08-05T00:00:00"/>
    <n v="1250"/>
    <x v="1"/>
    <x v="2"/>
    <s v="DFIPL Purchase"/>
    <s v="DFIPL Purchase"/>
    <m/>
    <s v="NR"/>
    <s v="SGRE 620215 S5 Dt. 14.07.2025, SGRE 620173 S3 DT. 02.08.2025"/>
  </r>
  <r>
    <n v="170"/>
    <s v="Hardtop WT8 RAL 9018 B 3.3"/>
    <s v="Hardtop WT8 Comp B"/>
    <s v="B"/>
    <s v="L"/>
    <n v="3.3"/>
    <n v="31"/>
    <n v="102.3"/>
    <m/>
    <n v="0"/>
    <n v="102.3"/>
    <s v="done"/>
    <n v="3789932"/>
    <x v="1"/>
    <n v="2"/>
    <d v="2025-01-08T00:00:00"/>
    <d v="2029-01-07T00:00:00"/>
    <d v="2025-08-05T00:00:00"/>
    <n v="1251"/>
    <x v="1"/>
    <x v="2"/>
    <s v="DFIPL Purchase"/>
    <s v="DFIPL Purchase"/>
    <m/>
    <s v="NR"/>
    <m/>
  </r>
  <r>
    <n v="24"/>
    <s v="Hardtop XP 2009"/>
    <s v="Hardtop XP Base 6A"/>
    <s v="A"/>
    <s v="L"/>
    <n v="16.809999999999999"/>
    <n v="21"/>
    <n v="353.01"/>
    <m/>
    <n v="0"/>
    <n v="353.01"/>
    <s v="done"/>
    <n v="3791595"/>
    <x v="7"/>
    <n v="4"/>
    <d v="2025-01-09T00:00:00"/>
    <d v="2029-01-08T00:00:00"/>
    <d v="2025-08-05T00:00:00"/>
    <n v="1252"/>
    <x v="1"/>
    <x v="2"/>
    <s v="Customer"/>
    <e v="#N/A"/>
    <m/>
    <s v="NR"/>
    <m/>
  </r>
  <r>
    <n v="194"/>
    <s v="Hardtop WT8 RAL 9018 A 16.7"/>
    <s v="Hardtop WT8 RAL 9018"/>
    <s v="A"/>
    <s v="L"/>
    <n v="16.7"/>
    <n v="25"/>
    <n v="417.5"/>
    <m/>
    <n v="0"/>
    <n v="417.5"/>
    <s v="done"/>
    <n v="3791457"/>
    <x v="1"/>
    <n v="2"/>
    <d v="2025-01-09T00:00:00"/>
    <d v="2029-01-08T00:00:00"/>
    <d v="2025-08-05T00:00:00"/>
    <n v="1252"/>
    <x v="1"/>
    <x v="2"/>
    <s v="DFIPL Purchase"/>
    <s v="DFIPL Purchase"/>
    <m/>
    <s v="NR"/>
    <m/>
  </r>
  <r>
    <n v="163"/>
    <s v="Thinner No.10"/>
    <s v="Jotun Thinner No. 10"/>
    <m/>
    <s v="L"/>
    <n v="20"/>
    <n v="14"/>
    <n v="280"/>
    <m/>
    <n v="0"/>
    <n v="280"/>
    <s v="done"/>
    <n v="3797670"/>
    <x v="7"/>
    <n v="2"/>
    <d v="2025-01-15T00:00:00"/>
    <d v="2029-01-14T00:00:00"/>
    <d v="2025-08-05T00:00:00"/>
    <n v="1258"/>
    <x v="1"/>
    <x v="2"/>
    <s v="Customer"/>
    <e v="#N/A"/>
    <m/>
    <s v="NR"/>
    <m/>
  </r>
  <r>
    <n v="99"/>
    <s v="Thinner No.17"/>
    <s v="Jotun Thinner No. 17"/>
    <m/>
    <s v="L"/>
    <n v="20"/>
    <n v="58"/>
    <n v="1160"/>
    <m/>
    <n v="0"/>
    <n v="1160"/>
    <s v="done"/>
    <n v="3800852"/>
    <x v="7"/>
    <n v="4"/>
    <d v="2025-01-17T00:00:00"/>
    <d v="2029-01-16T00:00:00"/>
    <d v="2025-08-05T00:00:00"/>
    <n v="1260"/>
    <x v="1"/>
    <x v="2"/>
    <s v="Customer"/>
    <e v="#N/A"/>
    <m/>
    <s v="NR"/>
    <m/>
  </r>
  <r>
    <n v="223"/>
    <s v="Hardtop XP804 HR Night Blue"/>
    <s v="Hardtop XP Base 3A"/>
    <s v="A"/>
    <s v="L"/>
    <n v="4.37"/>
    <n v="1"/>
    <n v="4.37"/>
    <m/>
    <n v="0"/>
    <n v="4.37"/>
    <s v="done"/>
    <n v="3802453"/>
    <x v="7"/>
    <n v="2"/>
    <d v="2025-01-17T00:00:00"/>
    <d v="2029-01-16T00:00:00"/>
    <d v="2025-08-05T00:00:00"/>
    <n v="1260"/>
    <x v="1"/>
    <x v="2"/>
    <s v="Customer"/>
    <e v="#N/A"/>
    <m/>
    <s v="NR"/>
    <m/>
  </r>
  <r>
    <n v="3"/>
    <s v="Penguard Universal 7035 &amp; Gray"/>
    <s v="Penguard Universal Comp B"/>
    <s v="B"/>
    <s v="L"/>
    <n v="5"/>
    <n v="42"/>
    <n v="210"/>
    <m/>
    <n v="0"/>
    <n v="210"/>
    <s v="done"/>
    <n v="3805684"/>
    <x v="7"/>
    <n v="3"/>
    <d v="2025-01-21T00:00:00"/>
    <d v="2029-01-20T00:00:00"/>
    <d v="2025-08-05T00:00:00"/>
    <n v="1264"/>
    <x v="1"/>
    <x v="2"/>
    <s v="Customer"/>
    <e v="#N/A"/>
    <m/>
    <s v="NR"/>
    <m/>
  </r>
  <r>
    <n v="6"/>
    <s v="Penguard Universal 7035 &amp; Gray"/>
    <s v="Penguard Universal Comp B"/>
    <s v="B"/>
    <s v="L"/>
    <n v="5"/>
    <n v="93"/>
    <n v="465"/>
    <m/>
    <n v="0"/>
    <n v="465"/>
    <s v="done"/>
    <n v="3805684"/>
    <x v="7"/>
    <n v="3"/>
    <d v="2025-01-21T00:00:00"/>
    <d v="2029-01-20T00:00:00"/>
    <d v="2025-08-05T00:00:00"/>
    <n v="1264"/>
    <x v="1"/>
    <x v="2"/>
    <s v="Customer"/>
    <e v="#N/A"/>
    <m/>
    <s v="NR"/>
    <m/>
  </r>
  <r>
    <n v="25"/>
    <s v="Hardtop XP 7035"/>
    <s v="Hardtop XP RAL 7035 A"/>
    <s v="A"/>
    <s v="L"/>
    <n v="18.2"/>
    <n v="61"/>
    <n v="1110.2"/>
    <m/>
    <n v="0"/>
    <n v="1110.2"/>
    <s v="done"/>
    <n v="3805675"/>
    <x v="7"/>
    <n v="4"/>
    <d v="2025-01-21T00:00:00"/>
    <d v="2029-01-20T00:00:00"/>
    <d v="2025-08-05T00:00:00"/>
    <n v="1264"/>
    <x v="1"/>
    <x v="2"/>
    <s v="Customer"/>
    <e v="#N/A"/>
    <m/>
    <s v="NR"/>
    <m/>
  </r>
  <r>
    <n v="26"/>
    <s v="Penguard Universal 7035 A"/>
    <s v="Penguard Uni RAL 7035A"/>
    <s v="A"/>
    <s v="L"/>
    <n v="15"/>
    <n v="34"/>
    <n v="510"/>
    <m/>
    <n v="0"/>
    <n v="510"/>
    <s v="done"/>
    <n v="3805666"/>
    <x v="7"/>
    <n v="4"/>
    <d v="2025-01-21T00:00:00"/>
    <d v="2029-01-20T00:00:00"/>
    <d v="2025-08-05T00:00:00"/>
    <n v="1264"/>
    <x v="1"/>
    <x v="2"/>
    <s v="Customer"/>
    <e v="#N/A"/>
    <m/>
    <s v="NR"/>
    <m/>
  </r>
  <r>
    <n v="92"/>
    <s v="Penguard Universal 7035 A"/>
    <s v="Penguard Uni RAL 7035A"/>
    <s v="A"/>
    <s v="L"/>
    <n v="15"/>
    <n v="122"/>
    <n v="1830"/>
    <m/>
    <n v="0"/>
    <n v="1830"/>
    <s v="done"/>
    <n v="3805666"/>
    <x v="7"/>
    <n v="4"/>
    <d v="2025-01-21T00:00:00"/>
    <d v="2029-01-20T00:00:00"/>
    <d v="2025-08-05T00:00:00"/>
    <n v="1264"/>
    <x v="1"/>
    <x v="2"/>
    <s v="Customer"/>
    <e v="#N/A"/>
    <m/>
    <s v="NR"/>
    <m/>
  </r>
  <r>
    <n v="191"/>
    <s v="Penguard Universal 7035 A"/>
    <s v="Penguard Uni RAL 7035A"/>
    <s v="A"/>
    <s v="L"/>
    <n v="15"/>
    <n v="6"/>
    <n v="90"/>
    <m/>
    <n v="0"/>
    <n v="90"/>
    <s v="done"/>
    <n v="3805666"/>
    <x v="7"/>
    <n v="2"/>
    <d v="2025-01-21T00:00:00"/>
    <d v="2029-01-20T00:00:00"/>
    <d v="2025-08-05T00:00:00"/>
    <n v="1264"/>
    <x v="1"/>
    <x v="2"/>
    <s v="Customer"/>
    <e v="#N/A"/>
    <m/>
    <s v="NR"/>
    <m/>
  </r>
  <r>
    <n v="204"/>
    <s v="Penguard Universal 7035 &amp; Gray"/>
    <s v="Penguard Universal Comp B"/>
    <s v="B"/>
    <s v="L"/>
    <n v="5"/>
    <n v="107"/>
    <n v="535"/>
    <m/>
    <n v="0"/>
    <n v="535"/>
    <s v="done"/>
    <n v="3805684"/>
    <x v="7"/>
    <n v="2"/>
    <d v="2025-01-21T00:00:00"/>
    <d v="2029-01-20T00:00:00"/>
    <d v="2025-08-05T00:00:00"/>
    <n v="1264"/>
    <x v="1"/>
    <x v="2"/>
    <s v="Customer"/>
    <e v="#N/A"/>
    <m/>
    <s v="NR"/>
    <m/>
  </r>
  <r>
    <n v="221"/>
    <s v="Penguard Universal 7035 &amp; Gray"/>
    <s v="Penguard Universal Comp B"/>
    <s v="B"/>
    <s v="L"/>
    <n v="5"/>
    <n v="33"/>
    <n v="165"/>
    <m/>
    <n v="0"/>
    <n v="165"/>
    <s v="done"/>
    <n v="3805683"/>
    <x v="7"/>
    <n v="2"/>
    <d v="2025-01-21T00:00:00"/>
    <d v="2029-01-20T00:00:00"/>
    <d v="2025-08-05T00:00:00"/>
    <n v="1264"/>
    <x v="1"/>
    <x v="2"/>
    <s v="Customer"/>
    <e v="#N/A"/>
    <m/>
    <s v="NR"/>
    <m/>
  </r>
  <r>
    <n v="222"/>
    <s v="Penguard Universal 7035 &amp; Gray"/>
    <s v="Penguard Universal Comp B"/>
    <s v="B"/>
    <s v="L"/>
    <n v="5"/>
    <n v="3"/>
    <n v="15"/>
    <m/>
    <n v="0"/>
    <n v="15"/>
    <s v="done"/>
    <n v="3805683"/>
    <x v="7"/>
    <n v="2"/>
    <d v="2025-01-21T00:00:00"/>
    <d v="2029-01-20T00:00:00"/>
    <d v="2025-08-05T00:00:00"/>
    <n v="1264"/>
    <x v="1"/>
    <x v="2"/>
    <s v="Customer"/>
    <e v="#N/A"/>
    <m/>
    <s v="NR"/>
    <m/>
  </r>
  <r>
    <n v="40"/>
    <s v="Hardtop XP Com B 7035"/>
    <s v="Hardtop XP, Comp B"/>
    <s v="B"/>
    <s v="L"/>
    <n v="1.8"/>
    <n v="81"/>
    <n v="145.80000000000001"/>
    <m/>
    <n v="0"/>
    <n v="145.80000000000001"/>
    <s v="done"/>
    <n v="3806819"/>
    <x v="7"/>
    <n v="4"/>
    <d v="2025-01-22T00:00:00"/>
    <d v="2029-01-21T00:00:00"/>
    <d v="2025-08-05T00:00:00"/>
    <n v="1265"/>
    <x v="1"/>
    <x v="2"/>
    <s v="Customer"/>
    <e v="#N/A"/>
    <m/>
    <s v="NR"/>
    <m/>
  </r>
  <r>
    <n v="220"/>
    <s v="Penguard Universal Gray A"/>
    <s v="Penguard Uni Grey A"/>
    <s v="A"/>
    <s v="L"/>
    <n v="15"/>
    <n v="129"/>
    <n v="1935"/>
    <m/>
    <n v="0"/>
    <n v="1935"/>
    <s v="done"/>
    <n v="3805528"/>
    <x v="7"/>
    <n v="2"/>
    <d v="2025-01-21T00:00:00"/>
    <d v="2029-01-21T00:00:00"/>
    <d v="2025-08-05T00:00:00"/>
    <n v="1265"/>
    <x v="1"/>
    <x v="2"/>
    <s v="Customer"/>
    <e v="#N/A"/>
    <m/>
    <s v="NR"/>
    <m/>
  </r>
  <r>
    <n v="224"/>
    <s v="Hardtop XP804 HR Night Blue"/>
    <s v="Hardtop XP Base 3A"/>
    <s v="A"/>
    <s v="L"/>
    <n v="4.37"/>
    <n v="1"/>
    <n v="4.37"/>
    <m/>
    <n v="0"/>
    <n v="4.37"/>
    <s v="done"/>
    <n v="3806910"/>
    <x v="7"/>
    <n v="2"/>
    <d v="2025-01-23T00:00:00"/>
    <d v="2029-01-22T00:00:00"/>
    <d v="2025-08-05T00:00:00"/>
    <n v="1266"/>
    <x v="1"/>
    <x v="2"/>
    <s v="Customer"/>
    <e v="#N/A"/>
    <m/>
    <s v="NR"/>
    <m/>
  </r>
  <r>
    <n v="185"/>
    <s v="Hardtop XP804 HR Night Blue B"/>
    <s v="Hardtop XP Comp B"/>
    <s v="B"/>
    <s v="L"/>
    <n v="0.45"/>
    <n v="1"/>
    <n v="0.45"/>
    <m/>
    <n v="0"/>
    <n v="0.45"/>
    <s v="done"/>
    <n v="3813726"/>
    <x v="7"/>
    <n v="2"/>
    <d v="2025-01-31T00:00:00"/>
    <d v="2029-01-30T00:00:00"/>
    <d v="2025-08-05T00:00:00"/>
    <n v="1274"/>
    <x v="1"/>
    <x v="2"/>
    <s v="Customer"/>
    <e v="#N/A"/>
    <m/>
    <s v="NR"/>
    <m/>
  </r>
  <r>
    <n v="73"/>
    <s v="Jotun Thinner No.17"/>
    <s v="Jotun Thinner No. 17"/>
    <m/>
    <s v="L"/>
    <n v="20"/>
    <n v="3"/>
    <n v="60"/>
    <n v="2"/>
    <n v="40"/>
    <n v="20"/>
    <s v="done"/>
    <n v="3835295"/>
    <x v="9"/>
    <n v="3"/>
    <d v="2025-02-24T00:00:00"/>
    <d v="2029-02-23T00:00:00"/>
    <d v="2025-08-05T00:00:00"/>
    <n v="1298"/>
    <x v="1"/>
    <x v="2"/>
    <s v="DFIPL Purchase"/>
    <s v="DFIPL Purchase"/>
    <m/>
    <s v="NR"/>
    <s v="WELSPUN TN 6 S5 AND S4, WELSPUN TN 7 S5 DT. 01.08.2025 "/>
  </r>
  <r>
    <n v="102"/>
    <s v="Jotun Thinner No.17"/>
    <s v="Jotun Thinner No. 17"/>
    <m/>
    <s v="L"/>
    <n v="20"/>
    <n v="2"/>
    <n v="40"/>
    <n v="2"/>
    <n v="40"/>
    <n v="0"/>
    <s v="done"/>
    <n v="3835295"/>
    <x v="7"/>
    <n v="4"/>
    <d v="2025-02-24T00:00:00"/>
    <d v="2029-02-23T00:00:00"/>
    <d v="2025-08-05T00:00:00"/>
    <n v="1298"/>
    <x v="1"/>
    <x v="2"/>
    <s v="Customer"/>
    <m/>
    <m/>
    <s v="NR"/>
    <m/>
  </r>
  <r>
    <n v="155"/>
    <s v="Hardtop XP II RAL 9003 Part A 16.02Ltrs."/>
    <s v="Hardtop XP II Base 1A"/>
    <s v="A"/>
    <s v="L"/>
    <n v="16.02"/>
    <n v="60"/>
    <n v="961.19999999999993"/>
    <n v="17"/>
    <n v="272.33999999999997"/>
    <n v="688.8599999999999"/>
    <s v="done"/>
    <n v="3860012"/>
    <x v="8"/>
    <n v="1"/>
    <d v="2025-03-18T00:00:00"/>
    <d v="2029-03-17T00:00:00"/>
    <d v="2025-08-05T00:00:00"/>
    <n v="1320"/>
    <x v="1"/>
    <x v="2"/>
    <s v="DFIPL Purchase"/>
    <s v="DFIPL Purchase"/>
    <m/>
    <s v="NR"/>
    <s v="ACME TN 7 S5, ACME TN 8 S2, ACME TN 8 S5 DT. 16.07.2025, ACME TN 9 S2 DT. 26.07.2025, ACME TN 9 S5 DT. 27.07.2025, ACME TN 10 S4 DT. 30.07.2025, ACME TN 10 S2 DT. 04.08.2025, ACME TN 8 S1 DT. 05.08.2025 "/>
  </r>
  <r>
    <n v="128"/>
    <s v="Hardtop XP Comp A RAL 2009 Traffic Orange - 16.807 Ltrs."/>
    <s v="Hardtop XP Base 6A"/>
    <s v="A"/>
    <s v="L"/>
    <n v="16.806999999999999"/>
    <n v="3"/>
    <n v="50.420999999999992"/>
    <m/>
    <n v="0"/>
    <n v="50.420999999999992"/>
    <s v="done"/>
    <n v="3890304"/>
    <x v="8"/>
    <n v="1"/>
    <d v="2025-04-16T00:00:00"/>
    <d v="2029-04-15T00:00:00"/>
    <d v="2025-08-05T00:00:00"/>
    <n v="1349"/>
    <x v="1"/>
    <x v="2"/>
    <s v="DFIPL Purchase"/>
    <s v="DFIPL Purchase"/>
    <m/>
    <s v="NR"/>
    <s v="ACME TN 8 S5 DT.16.07.2025, ACME TN 9 S5 DT. 27.07.2025"/>
  </r>
  <r>
    <n v="154"/>
    <s v="Hardtop XP Comp B RAL 2009 Traffic Orange"/>
    <s v="Hardtop XP B 2009"/>
    <s v="B"/>
    <s v="L"/>
    <n v="1.8"/>
    <n v="3"/>
    <n v="5.4"/>
    <m/>
    <n v="0"/>
    <n v="5.4"/>
    <s v="done"/>
    <n v="3896596"/>
    <x v="8"/>
    <n v="1"/>
    <d v="2025-04-23T00:00:00"/>
    <d v="2029-04-22T00:00:00"/>
    <d v="2025-08-05T00:00:00"/>
    <n v="1356"/>
    <x v="1"/>
    <x v="2"/>
    <s v="DFIPL Purchase"/>
    <s v="DFIPL Purchase"/>
    <m/>
    <s v="NR"/>
    <s v="ACME TN 9 S5 DT. 27.07.2025"/>
  </r>
  <r>
    <n v="77"/>
    <s v="Thinner 8450"/>
    <s v="Hempel's Thinner 8450"/>
    <m/>
    <s v="L"/>
    <n v="20"/>
    <n v="9"/>
    <n v="180"/>
    <m/>
    <n v="0"/>
    <n v="180"/>
    <s v="done"/>
    <n v="74045233"/>
    <x v="6"/>
    <n v="4"/>
    <d v="2024-04-24T00:00:00"/>
    <d v="2029-04-24T00:00:00"/>
    <d v="2025-08-05T00:00:00"/>
    <n v="1358"/>
    <x v="1"/>
    <x v="2"/>
    <s v="Customer"/>
    <e v="#N/A"/>
    <m/>
    <s v="NR"/>
    <s v="ADANI TN 19 SG4"/>
  </r>
  <r>
    <n v="129"/>
    <s v="ACME Paint Hardtop XP, Part A Perky Blue Ral-5015"/>
    <s v="Hardtop XP Base 3A RAL 5015"/>
    <s v="A"/>
    <s v="L"/>
    <n v="17.309999999999999"/>
    <n v="1"/>
    <n v="17.309999999999999"/>
    <m/>
    <n v="0"/>
    <n v="17.309999999999999"/>
    <s v="done"/>
    <n v="3900767"/>
    <x v="8"/>
    <n v="1"/>
    <d v="2025-04-28T00:00:00"/>
    <d v="2029-04-27T00:00:00"/>
    <d v="2025-08-05T00:00:00"/>
    <n v="1361"/>
    <x v="1"/>
    <x v="2"/>
    <s v="DFIPL Purchase"/>
    <s v="DFIPL Purchase"/>
    <m/>
    <s v="NR"/>
    <m/>
  </r>
  <r>
    <n v="130"/>
    <s v="ACME Paint Hardtop XP, Part A Pure Red Ral-3028"/>
    <s v="Hardtop XP Base 3A RAL 3028"/>
    <s v="A"/>
    <s v="L"/>
    <n v="18.8"/>
    <n v="1"/>
    <n v="18.8"/>
    <m/>
    <n v="0"/>
    <n v="18.8"/>
    <s v="done"/>
    <n v="3900767"/>
    <x v="8"/>
    <n v="1"/>
    <d v="2025-04-28T00:00:00"/>
    <d v="2029-04-27T00:00:00"/>
    <d v="2025-08-05T00:00:00"/>
    <n v="1361"/>
    <x v="1"/>
    <x v="2"/>
    <s v="DFIPL Purchase"/>
    <s v="DFIPL Purchase"/>
    <m/>
    <s v="NR"/>
    <m/>
  </r>
  <r>
    <n v="131"/>
    <s v="ACME Paint Hardtop XP, Part A Black Ral-9005"/>
    <s v="Hardtop XP Base 3A RAL 9005"/>
    <s v="A"/>
    <s v="L"/>
    <n v="17.39"/>
    <n v="1"/>
    <n v="17.39"/>
    <m/>
    <n v="0"/>
    <n v="17.39"/>
    <s v="done"/>
    <n v="3900767"/>
    <x v="8"/>
    <n v="1"/>
    <d v="2025-04-28T00:00:00"/>
    <d v="2029-04-27T00:00:00"/>
    <d v="2025-08-05T00:00:00"/>
    <n v="1361"/>
    <x v="1"/>
    <x v="2"/>
    <s v="DFIPL Purchase"/>
    <s v="DFIPL Purchase"/>
    <m/>
    <s v="NR"/>
    <m/>
  </r>
  <r>
    <n v="16"/>
    <s v="Jotun Thinner No.10"/>
    <s v="Jotun Thinner No. 10"/>
    <m/>
    <s v="L"/>
    <n v="20"/>
    <n v="2"/>
    <n v="40"/>
    <n v="1"/>
    <n v="20"/>
    <n v="20"/>
    <s v="done"/>
    <n v="3902728"/>
    <x v="8"/>
    <n v="1"/>
    <d v="2025-04-29T00:00:00"/>
    <d v="2029-04-28T00:00:00"/>
    <d v="2025-08-05T00:00:00"/>
    <n v="1362"/>
    <x v="1"/>
    <x v="2"/>
    <s v="DFIPL Purchase"/>
    <s v="DFIPL Purchase"/>
    <m/>
    <s v="NR"/>
    <s v="ACME TN 7 -S3, ACME TN 7 S5, ACME TN 8 S2, ACME TN 9 S5 DT. 27.07.2025, ACME TN 8 S1 DT. 05.08.2025"/>
  </r>
  <r>
    <n v="153"/>
    <s v="Hardtop XP II RAL 9003 Part B 2.2Ltrs."/>
    <s v="Hardtop XP II Comp B RAL 9005"/>
    <s v="B"/>
    <s v="L"/>
    <n v="2.2000000000000002"/>
    <n v="69"/>
    <n v="151.80000000000001"/>
    <n v="27"/>
    <n v="59.400000000000006"/>
    <n v="92.4"/>
    <s v="done"/>
    <n v="3904148"/>
    <x v="8"/>
    <n v="1"/>
    <d v="2025-04-29T00:00:00"/>
    <d v="2029-04-28T00:00:00"/>
    <d v="2025-08-05T00:00:00"/>
    <n v="1362"/>
    <x v="1"/>
    <x v="2"/>
    <s v="DFIPL Purchase"/>
    <s v="DFIPL Purchase"/>
    <m/>
    <s v="NR"/>
    <s v="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r>
  <r>
    <n v="15"/>
    <s v="Jotun Thinner No.17"/>
    <s v="Jotun Thinner No. 17"/>
    <m/>
    <s v="L"/>
    <n v="20"/>
    <n v="16"/>
    <n v="320"/>
    <n v="3"/>
    <n v="60"/>
    <n v="260"/>
    <s v="done"/>
    <n v="3904020"/>
    <x v="8"/>
    <n v="1"/>
    <d v="2025-04-30T00:00:00"/>
    <d v="2029-04-29T00:00:00"/>
    <d v="2025-08-05T00:00:00"/>
    <n v="1363"/>
    <x v="1"/>
    <x v="2"/>
    <s v="DFIPL Purchase"/>
    <s v="DFIPL Purchase"/>
    <m/>
    <s v="NR"/>
    <s v="ACME TN 7 -S3, ACME TN 7 S4, ACME TN 7 S5, ACME TN 8 S4 DT. 14.07.2025, ACME TN 8 S4 DT. 15.07.2025, ACME TN 8 S5 DT. 16.07.2025, ACME TN 9 S3 DT. 22.07.2025, ACME TN 9 S5 DT. 27.07.2025, ACME TN 10 S4 DT. 30.07.2025, ACME TN 10 S2 DT. 04.08.2025, ACME TN 8 S1 DT. 05.08.2025"/>
  </r>
  <r>
    <n v="156"/>
    <s v="Hardtop XP II RAL 9003 Part A 16.02Ltrs."/>
    <s v="Hardtop XP II Base 1A RAL 9003"/>
    <s v="A"/>
    <s v="L"/>
    <n v="16.02"/>
    <n v="10"/>
    <n v="160.19999999999999"/>
    <n v="10"/>
    <n v="160.19999999999999"/>
    <n v="0"/>
    <s v="done"/>
    <n v="3904037"/>
    <x v="8"/>
    <n v="1"/>
    <d v="2025-04-30T00:00:00"/>
    <d v="2029-04-29T00:00:00"/>
    <d v="2025-08-05T00:00:00"/>
    <n v="1363"/>
    <x v="1"/>
    <x v="2"/>
    <s v="DFIPL Purchase"/>
    <s v="DFIPL Purchase"/>
    <m/>
    <s v="NR"/>
    <s v="ACME TN 8 S4 DT. 15.07.2025, ACME TN 8 S3 DT. 19.07.2025, ACME TN 9 S3 DT. 23.07.2025, ACME TN 9 S4 DT. 23.07.2025, ACME TN 9 S2 DT. 26.07.2025"/>
  </r>
  <r>
    <n v="14"/>
    <s v="Jotun Thinner No.17"/>
    <s v="Jotun Thinner No. 17"/>
    <m/>
    <s v="L"/>
    <n v="20"/>
    <n v="33"/>
    <n v="660"/>
    <n v="2"/>
    <n v="40"/>
    <n v="620"/>
    <s v="done"/>
    <n v="3905653"/>
    <x v="8"/>
    <n v="1"/>
    <d v="2025-05-02T00:00:00"/>
    <d v="2029-05-01T00:00:00"/>
    <d v="2025-08-05T00:00:00"/>
    <n v="1365"/>
    <x v="1"/>
    <x v="2"/>
    <s v="DFIPL Purchase"/>
    <s v="DFIPL Purchase"/>
    <m/>
    <s v="NR"/>
    <s v="ACME TN 9 S2 DT. 26.07.2025"/>
  </r>
  <r>
    <n v="8"/>
    <s v="HARDTOP WT8 RAL 7035 B 3.3 Ltr"/>
    <s v="Hardtop WT8 Comp B"/>
    <s v="B "/>
    <s v="L"/>
    <n v="3.3"/>
    <n v="31"/>
    <n v="102.3"/>
    <n v="13"/>
    <n v="42.9"/>
    <n v="59.4"/>
    <s v="done"/>
    <n v="3910488"/>
    <x v="9"/>
    <n v="3"/>
    <d v="2025-05-07T00:00:00"/>
    <d v="2029-05-06T00:00:00"/>
    <d v="2025-08-05T00:00:00"/>
    <n v="1370"/>
    <x v="1"/>
    <x v="2"/>
    <s v="DFIPL Purchase"/>
    <s v="DFIPL Purchase"/>
    <m/>
    <s v="NR"/>
    <s v="WELSPUN TN 6 S3, WELSPUN TN 6 S5, WELSPUN TN 6 S4, WELSPUN TN 6 S1 DT. 15.07.2025, WELSPUN TN 7 S3 DT. 25.07.2025, WELSPUN TN 7 S2 DT. 24.07.2025, WELSPUN TN 7 S4 DT. 28.07.2025, WELSPUN TN 7 S5 DT. 01.08.2025  "/>
  </r>
  <r>
    <n v="146"/>
    <s v="HARDTOP WT8 RAL 7035 B 3.3 Ltr"/>
    <s v="Hardtop WT8 Comp B"/>
    <s v="B"/>
    <s v="L"/>
    <n v="3.3"/>
    <n v="32"/>
    <n v="105.6"/>
    <m/>
    <n v="0"/>
    <n v="105.6"/>
    <s v="done"/>
    <n v="3910488"/>
    <x v="9"/>
    <n v="1"/>
    <d v="2025-05-07T00:00:00"/>
    <d v="2029-05-06T00:00:00"/>
    <d v="2025-08-05T00:00:00"/>
    <n v="1370"/>
    <x v="1"/>
    <x v="2"/>
    <s v="DFIPL Purchase"/>
    <s v="DFIPL Purchase"/>
    <m/>
    <s v="NR"/>
    <m/>
  </r>
  <r>
    <n v="17"/>
    <s v="HARDTOP WT8 RAL 7035 A (16.7 Ltr)"/>
    <s v="Hardtop WT8 RAL 7035"/>
    <s v="A"/>
    <s v="L"/>
    <n v="16.7"/>
    <n v="31"/>
    <n v="517.69999999999993"/>
    <n v="13"/>
    <n v="217.1"/>
    <n v="300.59999999999991"/>
    <s v="done"/>
    <n v="3923158"/>
    <x v="9"/>
    <n v="3"/>
    <d v="2025-05-17T00:00:00"/>
    <d v="2029-05-16T00:00:00"/>
    <d v="2025-08-05T00:00:00"/>
    <n v="1380"/>
    <x v="1"/>
    <x v="2"/>
    <s v="DFIPL Purchase"/>
    <s v="DFIPL Purchase"/>
    <m/>
    <s v="NR"/>
    <s v="WELPSUN TN 6 S3, WELSPUN TN 6 S4, WELSPUN TN 6 S1 DT. 15.07.2025, WELSPUN TN 7 S3 DT. 25.07.2025, WELSPUN TN 7 S2 DT. 24.07.2025, WELSPUN TN 7 S4 DT. 28.07.2025, WELSPUN TN 7 S5 DT. 01.08.2025 "/>
  </r>
  <r>
    <n v="148"/>
    <s v="Hardtop XP Comp B RAL 2009 Traffic Orange"/>
    <s v="Hardtop Part B  Orange"/>
    <s v="B"/>
    <s v="L"/>
    <n v="1.8"/>
    <n v="11"/>
    <n v="19.8"/>
    <n v="5"/>
    <n v="9"/>
    <n v="10.8"/>
    <s v="done"/>
    <n v="3937843"/>
    <x v="8"/>
    <n v="1"/>
    <d v="2025-05-30T00:00:00"/>
    <d v="2029-05-29T00:00:00"/>
    <d v="2025-08-05T00:00:00"/>
    <n v="1393"/>
    <x v="1"/>
    <x v="2"/>
    <s v="DFIPL Purchase"/>
    <s v="DFIPL Purchase"/>
    <m/>
    <s v="NR"/>
    <s v="WELSPUN TN 5 S5, ACME TN 7 S5, WELSPUN TN 6 S5, ACME TN 8 S5 DT. 16.07.2025, WELSPUN TN 7 S2 DT. 24.07.2025, WELSPUN TN 7 S5 DT. 01.08.2025"/>
  </r>
  <r>
    <n v="23"/>
    <s v="Jotun Thinner No.10"/>
    <s v="Jotun Thinner 10"/>
    <m/>
    <s v="L"/>
    <n v="20"/>
    <n v="16"/>
    <n v="320"/>
    <n v="10"/>
    <n v="200"/>
    <n v="120"/>
    <s v="done"/>
    <n v="3940620"/>
    <x v="9"/>
    <n v="3"/>
    <d v="2025-06-03T00:00:00"/>
    <d v="2029-06-02T00:00:00"/>
    <d v="2025-08-05T00:00:00"/>
    <n v="1397"/>
    <x v="1"/>
    <x v="2"/>
    <s v="DFIPL Purchase"/>
    <s v="DFIPL Purchase"/>
    <m/>
    <s v="NR"/>
    <s v="WELSPUN TN 6 S3, WELSPUN TN 6 S5, WELSPUN TN 6 S4, WELSPUN TN 6 S1 DT. 15.07.2025, WELSPUN TN 7 S3 DT. 25.07.2025, WELSPUN TN 7 S2 DT. 24.07.2025, WELSPUN TN 7 S4 DT. 28.07.2025, WELSPUN TN 7 S5 DT. 01.08.2025   "/>
  </r>
  <r>
    <n v="150"/>
    <s v="Hardtop XP RAL 5013  Part A"/>
    <s v="Hardtop XP Base 3A"/>
    <s v="A"/>
    <s v="L"/>
    <n v="17.77"/>
    <n v="1"/>
    <n v="17.77"/>
    <m/>
    <n v="0"/>
    <n v="17.77"/>
    <s v="done"/>
    <n v="3943270"/>
    <x v="8"/>
    <n v="1"/>
    <d v="2025-06-05T00:00:00"/>
    <d v="2029-06-04T00:00:00"/>
    <d v="2025-08-05T00:00:00"/>
    <n v="1399"/>
    <x v="1"/>
    <x v="2"/>
    <s v="DFIPL Purchase"/>
    <s v="DFIPL Purchase"/>
    <m/>
    <s v="NR"/>
    <m/>
  </r>
  <r>
    <n v="22"/>
    <s v="Jotun Thinner No.17"/>
    <s v="Jotun Thinner 17"/>
    <m/>
    <s v="L"/>
    <n v="20"/>
    <n v="39"/>
    <n v="780"/>
    <n v="17"/>
    <n v="340"/>
    <n v="440"/>
    <s v="done"/>
    <n v="3943290"/>
    <x v="9"/>
    <n v="3"/>
    <d v="2025-06-05T00:00:00"/>
    <d v="2029-06-04T00:00:00"/>
    <d v="2025-08-05T00:00:00"/>
    <n v="1399"/>
    <x v="1"/>
    <x v="2"/>
    <s v="DFIPL Purchase"/>
    <s v="DFIPL Purchase"/>
    <m/>
    <s v="NR"/>
    <s v="WELSPUN TN 6 S3, WELSPUN TN 6 S1 DT. 15.07.2025, WELSPUN TN 7 S3 DT. 25.07.2025, WELSPUN TN 7 S2 DT. 24.07.2025, WELSPUN TN 7 S4 DT. 28.07.2025"/>
  </r>
  <r>
    <n v="149"/>
    <s v="Hardtop XP Comp A RAL 2009 Traffic Orange"/>
    <s v="Hardtop XP Base 6A"/>
    <s v="A"/>
    <s v="L"/>
    <n v="16.809999999999999"/>
    <n v="11"/>
    <n v="184.91"/>
    <n v="5"/>
    <n v="84.05"/>
    <n v="100.86"/>
    <s v="done"/>
    <n v="3945307"/>
    <x v="8"/>
    <n v="1"/>
    <d v="2025-06-09T00:00:00"/>
    <d v="2029-06-08T00:00:00"/>
    <d v="2025-08-05T00:00:00"/>
    <n v="1403"/>
    <x v="1"/>
    <x v="2"/>
    <s v="DFIPL Purchase"/>
    <s v="DFIPL Purchase"/>
    <m/>
    <s v="NR"/>
    <s v="WELSPUN TN 5 S5, ACME TN 7 S5, WELSPUN TN 6 S5, WELSPUN TN 7 S2 DT. 24.07.2025, WELSPUN TN 7 S5 DT. 01.08.2025"/>
  </r>
  <r>
    <n v="144"/>
    <s v="HARDTOP WT8 RAL 7035 A (16.7 Ltr)"/>
    <s v="Hardtop WT8 RAL 7035"/>
    <s v="A"/>
    <s v="L"/>
    <n v="16.7"/>
    <n v="32"/>
    <n v="534.4"/>
    <m/>
    <n v="0"/>
    <n v="534.4"/>
    <s v="done"/>
    <n v="3945414"/>
    <x v="9"/>
    <n v="1"/>
    <d v="2025-06-09T00:00:00"/>
    <d v="2029-06-08T00:00:00"/>
    <d v="2025-08-05T00:00:00"/>
    <n v="1403"/>
    <x v="1"/>
    <x v="2"/>
    <s v="DFIPL Purchase"/>
    <s v="DFIPL Purchase"/>
    <m/>
    <s v="NR"/>
    <m/>
  </r>
  <r>
    <n v="74"/>
    <s v="Jotun Thinner No.10"/>
    <s v="Jotun Thinner No. 10"/>
    <m/>
    <s v="L"/>
    <n v="20"/>
    <n v="20"/>
    <n v="400"/>
    <n v="1"/>
    <n v="20"/>
    <n v="380"/>
    <s v="done"/>
    <n v="3956929"/>
    <x v="8"/>
    <n v="1"/>
    <d v="2025-06-19T00:00:00"/>
    <d v="2029-06-18T00:00:00"/>
    <d v="2025-08-05T00:00:00"/>
    <n v="1413"/>
    <x v="1"/>
    <x v="2"/>
    <s v="DFIPL Purchase"/>
    <s v="DFIPL Purchase"/>
    <m/>
    <s v="NR"/>
    <s v="ACME TN 9 S3 DT. 23.07.2025, ACME TN 9 S2 DT. 26.07.2025, ACME TN 10 S4 DT. 30.07.2025, ACME TN 10 S2 DT. 04.08.2025"/>
  </r>
  <r>
    <n v="76"/>
    <s v="Jotun Thinner No.17"/>
    <s v="Jotun Thinner No. 17"/>
    <m/>
    <s v="L"/>
    <n v="20"/>
    <n v="3"/>
    <n v="60"/>
    <m/>
    <n v="0"/>
    <n v="60"/>
    <s v="done"/>
    <n v="3958435"/>
    <x v="8"/>
    <n v="1"/>
    <d v="2025-06-26T00:00:00"/>
    <d v="2029-06-19T00:00:00"/>
    <d v="2025-08-05T00:00:00"/>
    <n v="1414"/>
    <x v="1"/>
    <x v="2"/>
    <s v="DFIPL Purchase"/>
    <s v="DFIPL Purchase"/>
    <m/>
    <s v="NR"/>
    <s v="ACME TN 7 S3, ACME TN 9 S4 DT. 23.07.2025"/>
  </r>
  <r>
    <n v="78"/>
    <s v="Thinner 8450"/>
    <s v="Hempel's Thinner 8450"/>
    <m/>
    <s v="L"/>
    <n v="20"/>
    <n v="1"/>
    <n v="20"/>
    <m/>
    <n v="0"/>
    <n v="20"/>
    <s v="done"/>
    <n v="74085284"/>
    <x v="6"/>
    <n v="4"/>
    <d v="2024-09-04T00:00:00"/>
    <d v="2029-09-04T00:00:00"/>
    <d v="2025-08-05T00:00:00"/>
    <n v="1491"/>
    <x v="1"/>
    <x v="2"/>
    <s v="Customer"/>
    <e v="#N/A"/>
    <m/>
    <s v="NR"/>
    <m/>
  </r>
  <r>
    <n v="47"/>
    <s v="Thinner 8450, Pack size :- 20Ltrs."/>
    <s v="Hempel's Thinner 8450"/>
    <m/>
    <s v="L"/>
    <n v="20"/>
    <n v="1"/>
    <n v="20"/>
    <m/>
    <n v="0"/>
    <n v="20"/>
    <s v="done"/>
    <n v="74105021"/>
    <x v="0"/>
    <n v="3"/>
    <d v="2024-10-03T00:00:00"/>
    <d v="2029-10-03T00:00:00"/>
    <d v="2025-08-05T00:00:00"/>
    <n v="1520"/>
    <x v="1"/>
    <x v="2"/>
    <s v="DFIPL Purchase"/>
    <s v="DFIPL Purchase"/>
    <m/>
    <s v="NR"/>
    <s v="AYANA 364 TN 01 S1"/>
  </r>
  <r>
    <n v="85"/>
    <s v="Thinner 8450"/>
    <s v="Hempel Thinner 08450"/>
    <m/>
    <s v="L"/>
    <n v="20"/>
    <n v="23"/>
    <n v="460"/>
    <m/>
    <n v="0"/>
    <n v="460"/>
    <s v="done"/>
    <n v="74115020"/>
    <x v="6"/>
    <n v="1"/>
    <d v="2024-11-18T00:00:00"/>
    <d v="2029-11-18T00:00:00"/>
    <d v="2025-08-05T00:00:00"/>
    <n v="1566"/>
    <x v="1"/>
    <x v="2"/>
    <s v="Customer"/>
    <e v="#N/A"/>
    <m/>
    <s v="NR"/>
    <m/>
  </r>
  <r>
    <n v="81"/>
    <s v="Thinner 8450"/>
    <s v="Hempel's Thinner 8450"/>
    <m/>
    <s v="L"/>
    <n v="20"/>
    <n v="21"/>
    <n v="420"/>
    <m/>
    <n v="0"/>
    <n v="420"/>
    <s v="done"/>
    <n v="74115109"/>
    <x v="6"/>
    <n v="4"/>
    <d v="2024-11-22T00:00:00"/>
    <d v="2029-11-22T00:00:00"/>
    <d v="2025-08-05T00:00:00"/>
    <n v="1570"/>
    <x v="1"/>
    <x v="2"/>
    <s v="Customer"/>
    <e v="#N/A"/>
    <m/>
    <s v="NR"/>
    <m/>
  </r>
  <r>
    <n v="132"/>
    <s v="Thinner 8080"/>
    <s v="Hempel Thinner 08080"/>
    <s v="B"/>
    <s v="L"/>
    <n v="20"/>
    <n v="4"/>
    <n v="80"/>
    <m/>
    <n v="0"/>
    <n v="80"/>
    <s v="done"/>
    <n v="75035374"/>
    <x v="6"/>
    <n v="1"/>
    <d v="2025-04-10T00:00:00"/>
    <d v="2030-04-10T00:00:00"/>
    <d v="2025-08-05T00:00:00"/>
    <n v="1709"/>
    <x v="1"/>
    <x v="2"/>
    <s v="Customer"/>
    <e v="#N/A"/>
    <s v="need to confirm the expiry date"/>
    <s v="OK checked again"/>
    <s v="ADANI TN 19 SG2, ADANI TN 19 SG3"/>
  </r>
  <r>
    <n v="133"/>
    <s v="Thinner 8450"/>
    <s v="Hempel Thinner 08450"/>
    <m/>
    <s v="L"/>
    <n v="20"/>
    <n v="26"/>
    <n v="520"/>
    <m/>
    <n v="0"/>
    <n v="520"/>
    <s v="done"/>
    <n v="75045038"/>
    <x v="6"/>
    <n v="1"/>
    <d v="2025-04-14T00:00:00"/>
    <d v="2030-04-14T00:00:00"/>
    <d v="2025-08-05T00:00:00"/>
    <n v="1713"/>
    <x v="1"/>
    <x v="2"/>
    <s v="Customer"/>
    <e v="#N/A"/>
    <s v="need to confirm the expiry date"/>
    <s v="OK checked again"/>
    <m/>
  </r>
  <r>
    <n v="79"/>
    <s v="Thinner 8080"/>
    <s v="Hempel's Thinner 08080"/>
    <m/>
    <s v="L"/>
    <n v="20"/>
    <n v="16"/>
    <n v="320"/>
    <m/>
    <n v="0"/>
    <n v="320"/>
    <s v="done"/>
    <n v="75045474"/>
    <x v="0"/>
    <n v="4"/>
    <d v="2025-04-29T00:00:00"/>
    <d v="2030-04-29T00:00:00"/>
    <d v="2025-08-05T00:00:00"/>
    <n v="1728"/>
    <x v="1"/>
    <x v="2"/>
    <s v="Customer"/>
    <e v="#N/A"/>
    <s v="need to confirm the expiry date"/>
    <s v="correction done"/>
    <s v="AYANA 364 TN 01 S1, ADANI TN 19 SG4, ADANI TN 19 SG1"/>
  </r>
  <r>
    <m/>
    <s v="Thinner 8450, Pack size :- 20Ltrs."/>
    <s v="Hempel Thinner 08450"/>
    <m/>
    <s v="L"/>
    <n v="20"/>
    <n v="5"/>
    <n v="100"/>
    <m/>
    <n v="0"/>
    <n v="100"/>
    <s v="done"/>
    <n v="75065061"/>
    <x v="0"/>
    <n v="3"/>
    <d v="2025-06-03T00:00:00"/>
    <d v="2030-06-03T00:00:00"/>
    <d v="2025-08-05T00:00:00"/>
    <n v="1763"/>
    <x v="1"/>
    <x v="2"/>
    <s v="DFIPL Purchase"/>
    <s v="DFIPL Purchase"/>
    <m/>
    <m/>
    <m/>
  </r>
  <r>
    <m/>
    <s v="Thinner 8080, Pack size :- 20Ltrs."/>
    <s v="Hempel Thinner 08080"/>
    <m/>
    <s v="L"/>
    <n v="20"/>
    <n v="4"/>
    <n v="80"/>
    <m/>
    <n v="0"/>
    <n v="80"/>
    <s v="done"/>
    <n v="75065063"/>
    <x v="0"/>
    <n v="3"/>
    <d v="2025-06-05T00:00:00"/>
    <d v="2030-06-05T00:00:00"/>
    <d v="2025-08-05T00:00:00"/>
    <n v="1765"/>
    <x v="1"/>
    <x v="2"/>
    <s v="DFIPL Purchase"/>
    <s v="DFIPL Purchase"/>
    <m/>
    <m/>
    <s v="AYANA 364 TN 1 S5"/>
  </r>
  <r>
    <m/>
    <s v="Hempathane HS 55610 (RAL 2009), Part -A, Pack Size -17.5Ltrs."/>
    <s v="Hempathane HS 55619 RAL 2009 "/>
    <s v="A "/>
    <s v="L"/>
    <n v="17.5"/>
    <n v="1"/>
    <n v="17.5"/>
    <m/>
    <n v="0"/>
    <n v="17.5"/>
    <s v="done"/>
    <n v="75045329"/>
    <x v="0"/>
    <n v="3"/>
    <d v="2025-04-21T00:00:00"/>
    <d v="2027-04-21T00:00:00"/>
    <d v="2025-08-05T00:00:00"/>
    <n v="624"/>
    <x v="1"/>
    <x v="2"/>
    <s v="DFIPL Purchase"/>
    <s v="DFIPL Purchase"/>
    <m/>
    <m/>
    <s v="AYANA 364 TN 1 S5"/>
  </r>
  <r>
    <m/>
    <s v="Hempathane HS 55610 (RAL 2009), Part -B, Pack Size -2.5Ltrs."/>
    <s v="Hempel Curing Agent 97050"/>
    <s v="B"/>
    <s v="L"/>
    <n v="2.5"/>
    <n v="1"/>
    <n v="2.5"/>
    <m/>
    <n v="0"/>
    <n v="2.5"/>
    <s v="done"/>
    <n v="75045249"/>
    <x v="0"/>
    <n v="3"/>
    <d v="2025-05-02T00:00:00"/>
    <d v="2026-09-02T00:00:00"/>
    <d v="2025-08-05T00:00:00"/>
    <n v="393"/>
    <x v="1"/>
    <x v="2"/>
    <s v="DFIPL Purchase"/>
    <s v="DFIPL Purchase"/>
    <m/>
    <m/>
    <s v="AYANA 364 TN 1 S5"/>
  </r>
  <r>
    <m/>
    <s v="Paint Barrier 80 Part A"/>
    <s v="Barrier 80 X Comp A"/>
    <s v="A"/>
    <s v="L"/>
    <n v="9"/>
    <n v="1"/>
    <n v="9"/>
    <n v="1"/>
    <n v="9"/>
    <n v="0"/>
    <s v="done"/>
    <n v="3802586"/>
    <x v="2"/>
    <n v="3"/>
    <d v="2025-01-18T00:00:00"/>
    <d v="2026-01-18T00:00:00"/>
    <d v="2025-08-05T00:00:00"/>
    <n v="166"/>
    <x v="1"/>
    <x v="2"/>
    <s v="DFIPL Purchase"/>
    <s v="DFIPL Purchase"/>
    <m/>
    <m/>
    <s v="WELSPUN TN 6 S3, WELSPUN TN 7 S4 DT. 28.07.2025"/>
  </r>
  <r>
    <m/>
    <e v="#N/A"/>
    <s v="Hempathane HS 55610 RAL 7035"/>
    <s v="A"/>
    <s v="L"/>
    <n v="17.5"/>
    <n v="12"/>
    <n v="210"/>
    <m/>
    <n v="0"/>
    <n v="210"/>
    <s v="Newly added"/>
    <n v="605040253"/>
    <x v="0"/>
    <n v="3"/>
    <d v="2025-04-23T00:00:00"/>
    <d v="2027-04-23T00:00:00"/>
    <d v="2025-08-05T00:00:00"/>
    <n v="626"/>
    <x v="1"/>
    <x v="2"/>
    <e v="#N/A"/>
    <e v="#N/A"/>
    <m/>
    <m/>
    <m/>
  </r>
  <r>
    <m/>
    <e v="#N/A"/>
    <s v="Hempel Curing Agent 97050"/>
    <s v="B"/>
    <s v="L"/>
    <n v="2.5"/>
    <n v="12"/>
    <n v="30"/>
    <m/>
    <n v="0"/>
    <n v="30"/>
    <s v="Newly added"/>
    <n v="75055100"/>
    <x v="0"/>
    <n v="3"/>
    <d v="2025-05-12T00:00:00"/>
    <d v="2026-09-12T00:00:00"/>
    <d v="2025-08-05T00:00:00"/>
    <n v="403"/>
    <x v="1"/>
    <x v="2"/>
    <e v="#N/A"/>
    <e v="#N/A"/>
    <m/>
    <m/>
    <m/>
  </r>
  <r>
    <m/>
    <s v="Avantaguard 750 A"/>
    <s v="Hempadur Avantguard 750"/>
    <s v="A"/>
    <s v="L"/>
    <n v="8.5"/>
    <n v="12"/>
    <n v="102"/>
    <m/>
    <n v="0"/>
    <n v="102"/>
    <s v="done"/>
    <n v="605010289"/>
    <x v="6"/>
    <n v="1"/>
    <m/>
    <m/>
    <d v="2025-08-05T00:00:00"/>
    <n v="-45874"/>
    <x v="0"/>
    <x v="0"/>
    <s v="Customer"/>
    <e v="#N/A"/>
    <m/>
    <m/>
    <s v="ADANI TN 19 SG4"/>
  </r>
  <r>
    <m/>
    <s v="ACME Paint Hardtop XP, Part B Black Ral-9005"/>
    <s v="Hardtop XP B 9005"/>
    <s v="B"/>
    <s v="L"/>
    <n v="1.8"/>
    <n v="1"/>
    <n v="1.8"/>
    <m/>
    <n v="0"/>
    <n v="1.8"/>
    <s v="done"/>
    <n v="3019219"/>
    <x v="0"/>
    <n v="4"/>
    <d v="2022-12-28T00:00:00"/>
    <d v="2026-12-27T00:00:00"/>
    <d v="2025-08-01T00:00:00"/>
    <n v="513"/>
    <x v="1"/>
    <x v="2"/>
    <s v="DFIPL Purchase"/>
    <s v="DFIPL Purchase"/>
    <m/>
    <m/>
    <m/>
  </r>
  <r>
    <m/>
    <s v="Ayana Paint Hardtop XP, Part B Oregano Green Ral-1406060"/>
    <s v="Hardtop XP, Comp B"/>
    <s v="B"/>
    <s v="L"/>
    <n v="1.8"/>
    <n v="2"/>
    <n v="3.6"/>
    <m/>
    <n v="0"/>
    <n v="3.6"/>
    <s v="done"/>
    <n v="3593644"/>
    <x v="0"/>
    <n v="3"/>
    <d v="2024-07-29T00:00:00"/>
    <d v="2026-07-28T00:00:00"/>
    <d v="2025-08-05T00:00:00"/>
    <n v="357"/>
    <x v="1"/>
    <x v="2"/>
    <s v="DFIPL Purchase"/>
    <s v="DFIPL Purchase"/>
    <m/>
    <m/>
    <m/>
  </r>
  <r>
    <m/>
    <s v="Paint Penguard Express CF RAL 1013 Part A"/>
    <s v="Penguard Exp CF 1013 Com A"/>
    <s v="A"/>
    <s v="L"/>
    <n v="16"/>
    <n v="1"/>
    <n v="16"/>
    <m/>
    <n v="0"/>
    <n v="16"/>
    <s v="done"/>
    <n v="3791457"/>
    <x v="1"/>
    <n v="2"/>
    <d v="2025-01-09T00:00:00"/>
    <d v="2029-01-08T00:00:00"/>
    <d v="2025-08-01T00:00:00"/>
    <n v="1256"/>
    <x v="1"/>
    <x v="2"/>
    <s v="DFIPL Purchase"/>
    <s v="DFIPL Purchase"/>
    <m/>
    <m/>
    <m/>
  </r>
  <r>
    <m/>
    <s v="Paint Barrier 80 Part B"/>
    <s v="Barrier 80 S Gray B"/>
    <s v="B"/>
    <s v="L"/>
    <n v="1.25"/>
    <n v="19"/>
    <n v="23.75"/>
    <m/>
    <n v="0"/>
    <n v="23.75"/>
    <s v="done"/>
    <n v="3794316"/>
    <x v="9"/>
    <n v="1"/>
    <d v="2025-01-11T00:00:00"/>
    <d v="2027-01-11T00:00:00"/>
    <d v="2025-08-01T00:00:00"/>
    <n v="528"/>
    <x v="1"/>
    <x v="2"/>
    <s v="DFIPL Purchase"/>
    <s v="DFIPL Purchase"/>
    <m/>
    <m/>
    <m/>
  </r>
  <r>
    <m/>
    <s v="ACME Paint Hardtop XP, Part B Black Ral-9005"/>
    <s v="Hardtop XP B 9005"/>
    <s v="B"/>
    <s v="L"/>
    <n v="1.8"/>
    <n v="1"/>
    <n v="1.8"/>
    <m/>
    <n v="0"/>
    <n v="1.8"/>
    <s v="done"/>
    <n v="3896596"/>
    <x v="8"/>
    <n v="1"/>
    <d v="2025-04-23T00:00:00"/>
    <d v="2029-04-22T00:00:00"/>
    <d v="2025-08-05T00:00:00"/>
    <n v="1356"/>
    <x v="1"/>
    <x v="2"/>
    <s v="DFIPL Purchase"/>
    <s v="DFIPL Purchase"/>
    <m/>
    <m/>
    <m/>
  </r>
  <r>
    <m/>
    <s v="ACME Paint Hardtop XP, Part B Perky Blue Ral-5015"/>
    <s v="Hardtop XP B 5015"/>
    <s v="B"/>
    <s v="L"/>
    <n v="1.8"/>
    <n v="1"/>
    <n v="1.8"/>
    <m/>
    <n v="0"/>
    <n v="1.8"/>
    <s v="done"/>
    <n v="3896596"/>
    <x v="8"/>
    <n v="1"/>
    <d v="2025-04-23T00:00:00"/>
    <d v="2029-04-22T00:00:00"/>
    <d v="2025-08-05T00:00:00"/>
    <n v="1356"/>
    <x v="1"/>
    <x v="2"/>
    <s v="DFIPL Purchase"/>
    <s v="DFIPL Purchase"/>
    <m/>
    <m/>
    <m/>
  </r>
  <r>
    <m/>
    <s v="ACME Paint Hardtop XP, Part B Pure Red Ral-3028"/>
    <s v="Hardtop XP B 3028"/>
    <s v="B"/>
    <s v="L"/>
    <n v="1.8"/>
    <n v="1"/>
    <n v="1.8"/>
    <m/>
    <n v="0"/>
    <n v="1.8"/>
    <s v="done"/>
    <n v="3896596"/>
    <x v="8"/>
    <n v="1"/>
    <d v="2025-04-23T00:00:00"/>
    <d v="2029-04-22T00:00:00"/>
    <d v="2025-08-05T00:00:00"/>
    <n v="1356"/>
    <x v="1"/>
    <x v="2"/>
    <s v="DFIPL Purchase"/>
    <s v="DFIPL Purchase"/>
    <m/>
    <m/>
    <m/>
  </r>
  <r>
    <m/>
    <s v="Paint Barrier 80 Part A"/>
    <s v="Barrier 80s Grey"/>
    <s v="A"/>
    <s v="L"/>
    <n v="7.5"/>
    <n v="19"/>
    <n v="142.5"/>
    <m/>
    <n v="0"/>
    <n v="142.5"/>
    <s v="done"/>
    <n v="3936078"/>
    <x v="9"/>
    <n v="1"/>
    <d v="2025-05-30T00:00:00"/>
    <d v="2027-05-20T00:00:00"/>
    <d v="2025-08-05T00:00:00"/>
    <n v="653"/>
    <x v="1"/>
    <x v="2"/>
    <s v="DFIPL Purchase"/>
    <s v="DFIPL Purchase"/>
    <m/>
    <m/>
    <m/>
  </r>
  <r>
    <m/>
    <s v="Hardtop XP RAL 5013  Part B"/>
    <s v="Hardtop Part B Blue"/>
    <s v="B"/>
    <s v="L"/>
    <n v="1.8"/>
    <n v="1"/>
    <n v="1.8"/>
    <m/>
    <n v="0"/>
    <n v="1.8"/>
    <s v="done"/>
    <n v="3937843"/>
    <x v="8"/>
    <n v="1"/>
    <d v="2025-05-30T00:00:00"/>
    <d v="2029-05-29T00:00:00"/>
    <d v="2025-08-05T00:00:00"/>
    <n v="1393"/>
    <x v="1"/>
    <x v="2"/>
    <s v="DFIPL Purchase"/>
    <s v="DFIPL Purchase"/>
    <m/>
    <m/>
    <m/>
  </r>
  <r>
    <m/>
    <s v="Hardtop WT8 7035 B"/>
    <s v="Hardtop WT8 7035 B"/>
    <s v="B"/>
    <s v="L"/>
    <n v="0.83"/>
    <n v="4"/>
    <n v="3.32"/>
    <m/>
    <n v="0"/>
    <n v="3.32"/>
    <s v="done"/>
    <n v="3221566"/>
    <x v="4"/>
    <n v="2"/>
    <d v="2023-07-27T00:00:00"/>
    <d v="2027-07-26T00:00:00"/>
    <d v="2025-08-05T00:00:00"/>
    <n v="720"/>
    <x v="1"/>
    <x v="2"/>
    <s v="Customer"/>
    <m/>
    <m/>
    <m/>
    <m/>
  </r>
  <r>
    <m/>
    <m/>
    <m/>
    <m/>
    <m/>
    <m/>
    <m/>
    <m/>
    <m/>
    <m/>
    <m/>
    <m/>
    <m/>
    <x v="11"/>
    <m/>
    <m/>
    <m/>
    <m/>
    <m/>
    <x v="2"/>
    <x v="4"/>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n v="55"/>
    <x v="0"/>
    <s v="Barrier 80 Comp A"/>
    <s v="A"/>
    <s v="L"/>
    <n v="6.75"/>
    <n v="1"/>
    <n v="6.75"/>
    <m/>
    <n v="0"/>
    <n v="6.75"/>
    <s v="done"/>
    <n v="2859306"/>
    <s v="Ayana "/>
    <n v="4"/>
    <d v="2022-07-01T00:00:00"/>
    <d v="2024-06-30T00:00:00"/>
    <d v="2025-07-30T00:00:00"/>
    <n v="-395"/>
    <x v="0"/>
    <s v="Expired more than 45 Days"/>
    <x v="0"/>
    <s v="DFIPL Purchase"/>
    <s v="Need to check date from system"/>
    <s v="System"/>
    <m/>
  </r>
  <r>
    <n v="104"/>
    <x v="1"/>
    <s v="Jotun Thinner No. 25"/>
    <m/>
    <s v="L"/>
    <n v="20"/>
    <n v="1"/>
    <n v="20"/>
    <m/>
    <n v="0"/>
    <n v="20"/>
    <s v="done"/>
    <n v="2566122"/>
    <s v="SGRE"/>
    <n v="2"/>
    <d v="2021-08-03T00:00:00"/>
    <d v="2025-08-02T00:00:00"/>
    <d v="2025-07-30T00:00:00"/>
    <n v="3"/>
    <x v="1"/>
    <s v="Will be Expire within 45 Days"/>
    <x v="0"/>
    <s v="DFIPL Purchase"/>
    <s v="NEED TO CHECK IN SYSTEM FOR DATE &amp; CLIENT"/>
    <s v="System"/>
    <m/>
  </r>
  <r>
    <n v="117"/>
    <x v="2"/>
    <s v="Barrier 80 Comp. B"/>
    <s v="B"/>
    <s v="L"/>
    <n v="2.25"/>
    <n v="1"/>
    <n v="2.25"/>
    <m/>
    <n v="0"/>
    <n v="2.25"/>
    <s v="done"/>
    <n v="2538093"/>
    <s v="COMMON USE"/>
    <n v="4"/>
    <d v="2021-06-29T00:00:00"/>
    <d v="2023-06-29T00:00:00"/>
    <d v="2025-07-30T00:00:00"/>
    <n v="-762"/>
    <x v="0"/>
    <s v="Expired more than 45 Days"/>
    <x v="0"/>
    <s v="DFIPL Purchase"/>
    <s v="NEED TO CHECK FROM SYSTEM FOR DATE &amp; PROJECT NAME"/>
    <s v="System"/>
    <m/>
  </r>
  <r>
    <n v="53"/>
    <x v="3"/>
    <s v="International Thinner GT 803"/>
    <m/>
    <s v="L"/>
    <n v="20"/>
    <n v="1"/>
    <n v="20"/>
    <m/>
    <n v="0"/>
    <n v="20"/>
    <s v="done"/>
    <s v="Q0D000"/>
    <s v="Thermax"/>
    <n v="4"/>
    <d v="2020-01-01T00:00:00"/>
    <d v="2022-01-01T00:00:00"/>
    <d v="2025-07-30T00:00:00"/>
    <n v="-1306"/>
    <x v="0"/>
    <s v="Expired more than 45 Days"/>
    <x v="1"/>
    <e v="#N/A"/>
    <s v="own purchased, reason"/>
    <s v="NR"/>
    <m/>
  </r>
  <r>
    <n v="98"/>
    <x v="4"/>
    <s v="Penguard Express Grey"/>
    <s v="A"/>
    <s v="L"/>
    <n v="16"/>
    <n v="1"/>
    <n v="16"/>
    <m/>
    <n v="0"/>
    <n v="16"/>
    <s v="done"/>
    <n v="2580592"/>
    <s v="Ayana "/>
    <n v="4"/>
    <d v="2021-08-23T00:00:00"/>
    <d v="2023-08-23T00:00:00"/>
    <d v="2025-07-30T00:00:00"/>
    <n v="-707"/>
    <x v="0"/>
    <s v="Expired more than 45 Days"/>
    <x v="0"/>
    <s v="DFIPL Purchase"/>
    <m/>
    <s v="NR"/>
    <m/>
  </r>
  <r>
    <n v="56"/>
    <x v="0"/>
    <s v="Paint Barrier 80 Part A"/>
    <s v="A"/>
    <s v="L"/>
    <n v="6.75"/>
    <n v="1"/>
    <n v="6.75"/>
    <m/>
    <n v="0"/>
    <n v="6.75"/>
    <s v="done"/>
    <n v="2582705"/>
    <s v="Ayana "/>
    <n v="4"/>
    <d v="2021-08-24T00:00:00"/>
    <d v="2023-08-24T00:00:00"/>
    <d v="2025-07-30T00:00:00"/>
    <n v="-706"/>
    <x v="0"/>
    <s v="Expired more than 45 Days"/>
    <x v="0"/>
    <s v="DFIPL Purchase"/>
    <m/>
    <s v="NR"/>
    <m/>
  </r>
  <r>
    <n v="166"/>
    <x v="5"/>
    <s v="Penguard Express CF RAL 1013"/>
    <s v="A"/>
    <s v="L"/>
    <n v="16"/>
    <n v="2"/>
    <n v="32"/>
    <m/>
    <n v="0"/>
    <n v="32"/>
    <s v="done"/>
    <n v="2580915"/>
    <s v="SGRE"/>
    <n v="2"/>
    <d v="2021-08-24T00:00:00"/>
    <d v="2023-08-24T00:00:00"/>
    <d v="2025-07-30T00:00:00"/>
    <n v="-706"/>
    <x v="0"/>
    <s v="Expired more than 45 Days"/>
    <x v="0"/>
    <s v="DFIPL Purchase"/>
    <m/>
    <s v="NR"/>
    <m/>
  </r>
  <r>
    <n v="115"/>
    <x v="6"/>
    <s v="Penguard Express Comp B"/>
    <s v="B"/>
    <s v="L"/>
    <n v="4"/>
    <n v="1"/>
    <n v="4"/>
    <m/>
    <n v="0"/>
    <n v="4"/>
    <s v="done"/>
    <n v="3231239"/>
    <s v="Ayana "/>
    <n v="4"/>
    <d v="2021-08-25T00:00:00"/>
    <d v="2023-08-25T00:00:00"/>
    <d v="2025-07-30T00:00:00"/>
    <n v="-705"/>
    <x v="0"/>
    <s v="Expired more than 45 Days"/>
    <x v="0"/>
    <s v="DFIPL Purchase"/>
    <m/>
    <s v="NR"/>
    <m/>
  </r>
  <r>
    <n v="49"/>
    <x v="7"/>
    <s v="International Interguard 475 HS"/>
    <s v="B"/>
    <s v="L"/>
    <n v="5"/>
    <n v="2"/>
    <n v="10"/>
    <m/>
    <n v="0"/>
    <n v="10"/>
    <s v="done"/>
    <s v="Q0D2354053"/>
    <s v="Thermax"/>
    <n v="4"/>
    <d v="2022-12-01T00:00:00"/>
    <d v="2023-12-01T00:00:00"/>
    <d v="2025-07-30T00:00:00"/>
    <n v="-607"/>
    <x v="0"/>
    <s v="Expired more than 45 Days"/>
    <x v="1"/>
    <e v="#N/A"/>
    <s v="own purchased, reason"/>
    <s v="NR"/>
    <m/>
  </r>
  <r>
    <n v="167"/>
    <x v="5"/>
    <s v="Penguard Express CF RAL 1013"/>
    <s v="A"/>
    <s v="L"/>
    <n v="16"/>
    <n v="1"/>
    <n v="16"/>
    <m/>
    <n v="0"/>
    <n v="16"/>
    <s v="done"/>
    <n v="3178665"/>
    <s v="SGRE"/>
    <n v="2"/>
    <d v="2023-06-14T00:00:00"/>
    <d v="2025-12-12T00:00:00"/>
    <d v="2025-07-30T00:00:00"/>
    <n v="135"/>
    <x v="1"/>
    <s v="Not Expire"/>
    <x v="0"/>
    <s v="DFIPL Purchase"/>
    <m/>
    <s v="NR"/>
    <m/>
  </r>
  <r>
    <n v="50"/>
    <x v="8"/>
    <s v="International Interprime 198"/>
    <s v="A"/>
    <s v="L"/>
    <n v="20"/>
    <n v="5"/>
    <n v="100"/>
    <m/>
    <n v="0"/>
    <n v="100"/>
    <s v="done"/>
    <s v="Q0D2029004"/>
    <s v="Thermax"/>
    <n v="4"/>
    <d v="2022-02-01T00:00:00"/>
    <d v="2024-02-01T00:00:00"/>
    <d v="2025-07-30T00:00:00"/>
    <n v="-545"/>
    <x v="0"/>
    <s v="Expired more than 45 Days"/>
    <x v="1"/>
    <e v="#N/A"/>
    <s v="own purchased, reason"/>
    <s v="NR"/>
    <m/>
  </r>
  <r>
    <n v="54"/>
    <x v="9"/>
    <s v="International Interlax 665 RAL 1017"/>
    <s v="A"/>
    <s v="L"/>
    <n v="20"/>
    <n v="4"/>
    <n v="80"/>
    <m/>
    <n v="0"/>
    <n v="80"/>
    <s v="done"/>
    <s v="YB4100GZ"/>
    <s v="Thermax"/>
    <n v="4"/>
    <d v="2022-02-01T00:00:00"/>
    <d v="2024-02-01T00:00:00"/>
    <d v="2025-07-30T00:00:00"/>
    <n v="-545"/>
    <x v="0"/>
    <s v="Expired more than 45 Days"/>
    <x v="1"/>
    <e v="#N/A"/>
    <s v="own purchased, reason"/>
    <s v="NR"/>
    <m/>
  </r>
  <r>
    <n v="173"/>
    <x v="4"/>
    <s v="Penguard Express Grey"/>
    <s v="A"/>
    <s v="L"/>
    <n v="16"/>
    <n v="1"/>
    <n v="16"/>
    <m/>
    <n v="0"/>
    <n v="16"/>
    <s v="done"/>
    <n v="2736868"/>
    <s v="SGRE"/>
    <n v="2"/>
    <d v="2022-02-16T00:00:00"/>
    <d v="2024-02-16T00:00:00"/>
    <d v="2025-07-30T00:00:00"/>
    <n v="-530"/>
    <x v="0"/>
    <s v="Expired more than 45 Days"/>
    <x v="0"/>
    <s v="DFIPL Purchase"/>
    <m/>
    <s v="NR"/>
    <m/>
  </r>
  <r>
    <n v="52"/>
    <x v="10"/>
    <s v="International Interguard 475 HS RAL 7035"/>
    <s v="B"/>
    <s v="L"/>
    <n v="15"/>
    <n v="2"/>
    <n v="30"/>
    <m/>
    <n v="0"/>
    <n v="30"/>
    <s v="done"/>
    <s v="Q0D2326006"/>
    <s v="Thermax"/>
    <n v="4"/>
    <d v="2022-11-01T00:00:00"/>
    <d v="2024-05-01T00:00:00"/>
    <d v="2025-07-30T00:00:00"/>
    <n v="-455"/>
    <x v="0"/>
    <s v="Expired more than 45 Days"/>
    <x v="1"/>
    <e v="#N/A"/>
    <s v="own purchased, reason"/>
    <s v="NR"/>
    <m/>
  </r>
  <r>
    <n v="209"/>
    <x v="11"/>
    <s v="Penguard Express CF Comp B"/>
    <s v="B"/>
    <s v="L"/>
    <n v="4"/>
    <n v="1"/>
    <n v="4"/>
    <m/>
    <n v="0"/>
    <n v="4"/>
    <s v="done"/>
    <n v="2811085"/>
    <s v="SGRE"/>
    <n v="2"/>
    <d v="2022-05-11T00:00:00"/>
    <d v="2024-05-10T00:00:00"/>
    <d v="2025-07-30T00:00:00"/>
    <n v="-446"/>
    <x v="0"/>
    <s v="Expired more than 45 Days"/>
    <x v="0"/>
    <s v="DFIPL Purchase"/>
    <m/>
    <s v="NR"/>
    <m/>
  </r>
  <r>
    <n v="210"/>
    <x v="11"/>
    <s v="Penguard Express CF Comp B"/>
    <s v="B"/>
    <s v="L"/>
    <n v="4"/>
    <n v="1"/>
    <n v="4"/>
    <m/>
    <n v="0"/>
    <n v="4"/>
    <s v="done"/>
    <n v="2853805"/>
    <s v="SGRE"/>
    <n v="2"/>
    <d v="2022-06-27T00:00:00"/>
    <d v="2024-06-26T00:00:00"/>
    <d v="2025-07-30T00:00:00"/>
    <n v="-399"/>
    <x v="0"/>
    <s v="Expired more than 45 Days"/>
    <x v="0"/>
    <s v="DFIPL Purchase"/>
    <m/>
    <s v="NR"/>
    <m/>
  </r>
  <r>
    <n v="226"/>
    <x v="2"/>
    <s v="Barrier 80 Comp. B"/>
    <s v="B"/>
    <s v="L"/>
    <n v="2.25"/>
    <n v="2"/>
    <n v="4.5"/>
    <m/>
    <n v="0"/>
    <n v="4.5"/>
    <s v="done"/>
    <n v="2859331"/>
    <s v="SGRE"/>
    <n v="2"/>
    <d v="2022-07-01T00:00:00"/>
    <d v="2024-06-30T00:00:00"/>
    <d v="2025-07-30T00:00:00"/>
    <n v="-395"/>
    <x v="0"/>
    <s v="Expired more than 45 Days"/>
    <x v="0"/>
    <s v="DFIPL Purchase"/>
    <m/>
    <s v="NR"/>
    <m/>
  </r>
  <r>
    <n v="48"/>
    <x v="12"/>
    <s v="International Interthane 990"/>
    <s v="B"/>
    <s v="L"/>
    <n v="2.86"/>
    <n v="1"/>
    <n v="2.86"/>
    <m/>
    <n v="0"/>
    <n v="2.86"/>
    <s v="done"/>
    <s v="Q0D3046002"/>
    <s v="Thermax"/>
    <n v="4"/>
    <d v="2023-02-01T00:00:00"/>
    <d v="2024-08-01T00:00:00"/>
    <d v="2025-07-30T00:00:00"/>
    <n v="-363"/>
    <x v="0"/>
    <s v="Expired more than 45 Days"/>
    <x v="1"/>
    <e v="#N/A"/>
    <s v="own purchased, reason"/>
    <s v="NR"/>
    <m/>
  </r>
  <r>
    <n v="169"/>
    <x v="13"/>
    <s v="Barrier 80 X Comp A"/>
    <s v="A"/>
    <s v="L"/>
    <n v="9"/>
    <n v="1"/>
    <n v="9"/>
    <m/>
    <n v="0"/>
    <n v="9"/>
    <s v="done"/>
    <n v="3236808"/>
    <s v="Renew"/>
    <n v="2"/>
    <d v="2023-08-14T00:00:00"/>
    <d v="2024-08-13T00:00:00"/>
    <d v="2025-07-30T00:00:00"/>
    <n v="-351"/>
    <x v="0"/>
    <s v="Expired more than 45 Days"/>
    <x v="1"/>
    <e v="#N/A"/>
    <s v="reason"/>
    <s v="NR"/>
    <m/>
  </r>
  <r>
    <n v="107"/>
    <x v="14"/>
    <s v="Hemaprime Multi 500"/>
    <s v="A"/>
    <s v="L"/>
    <n v="16"/>
    <n v="5"/>
    <n v="80"/>
    <m/>
    <n v="0"/>
    <n v="80"/>
    <s v="done"/>
    <n v="73035266"/>
    <s v="Senvion"/>
    <n v="4"/>
    <d v="2023-04-14T00:00:00"/>
    <d v="2024-08-14T00:00:00"/>
    <d v="2025-07-30T00:00:00"/>
    <n v="-350"/>
    <x v="0"/>
    <s v="Expired more than 45 Days"/>
    <x v="1"/>
    <e v="#N/A"/>
    <s v="reason"/>
    <s v="NR"/>
    <m/>
  </r>
  <r>
    <n v="51"/>
    <x v="8"/>
    <s v="International Interprime 198"/>
    <s v="A"/>
    <s v="L"/>
    <n v="20"/>
    <n v="3"/>
    <n v="60"/>
    <m/>
    <n v="0"/>
    <n v="60"/>
    <s v="done"/>
    <s v="Q0D2272028"/>
    <s v="Thermax"/>
    <n v="4"/>
    <d v="2022-10-01T00:00:00"/>
    <d v="2024-10-01T00:00:00"/>
    <d v="2025-07-30T00:00:00"/>
    <n v="-302"/>
    <x v="0"/>
    <s v="Expired more than 45 Days"/>
    <x v="1"/>
    <e v="#N/A"/>
    <s v="own purchased, reason"/>
    <s v="NR"/>
    <m/>
  </r>
  <r>
    <n v="86"/>
    <x v="15"/>
    <s v="Jotun Thinner No. 17"/>
    <m/>
    <s v="L"/>
    <n v="20"/>
    <n v="4"/>
    <n v="80"/>
    <n v="1"/>
    <n v="20"/>
    <n v="60"/>
    <s v="done"/>
    <n v="3682857"/>
    <s v="Ayana "/>
    <n v="4"/>
    <d v="2024-10-10T00:00:00"/>
    <d v="2024-10-09T00:00:00"/>
    <d v="2025-07-30T00:00:00"/>
    <n v="-294"/>
    <x v="0"/>
    <s v="Expired more than 45 Days"/>
    <x v="0"/>
    <s v="DFIPL Purchase"/>
    <m/>
    <s v="NR"/>
    <s v="SGRE 620215 S5 Dt. 14.07.2025"/>
  </r>
  <r>
    <n v="212"/>
    <x v="16"/>
    <s v="Jotumastic 80 Grey A"/>
    <s v="A"/>
    <s v="L"/>
    <n v="16"/>
    <n v="1"/>
    <n v="16"/>
    <m/>
    <n v="0"/>
    <n v="16"/>
    <s v="done"/>
    <n v="2415759"/>
    <s v="SGRE"/>
    <n v="2"/>
    <d v="2021-02-03T00:00:00"/>
    <d v="2025-02-02T00:00:00"/>
    <d v="2025-07-30T00:00:00"/>
    <n v="-178"/>
    <x v="0"/>
    <s v="Expired more than 45 Days"/>
    <x v="0"/>
    <s v="DFIPL Purchase"/>
    <m/>
    <s v="NR"/>
    <m/>
  </r>
  <r>
    <n v="65"/>
    <x v="17"/>
    <s v="Hardtop XP Base 3A"/>
    <s v="A"/>
    <s v="L"/>
    <n v="17.39"/>
    <n v="1"/>
    <n v="17.39"/>
    <m/>
    <n v="0"/>
    <n v="17.39"/>
    <s v="done"/>
    <n v="2418301"/>
    <s v="Ayana "/>
    <n v="4"/>
    <d v="2021-02-05T00:00:00"/>
    <d v="2025-02-04T00:00:00"/>
    <d v="2025-07-30T00:00:00"/>
    <n v="-176"/>
    <x v="0"/>
    <s v="Expired more than 45 Days"/>
    <x v="0"/>
    <s v="DFIPL Purchase"/>
    <m/>
    <s v="NR"/>
    <m/>
  </r>
  <r>
    <n v="197"/>
    <x v="18"/>
    <s v="Hardtop WT8 RAL 9018"/>
    <s v="A"/>
    <s v="L"/>
    <n v="16.7"/>
    <n v="4"/>
    <n v="66.8"/>
    <m/>
    <n v="0"/>
    <n v="66.8"/>
    <s v="done"/>
    <n v="2422866"/>
    <s v="SGRE"/>
    <n v="2"/>
    <d v="2021-02-10T00:00:00"/>
    <d v="2025-02-09T00:00:00"/>
    <d v="2025-07-30T00:00:00"/>
    <n v="-171"/>
    <x v="0"/>
    <s v="Expired more than 45 Days"/>
    <x v="0"/>
    <s v="DFIPL Purchase"/>
    <m/>
    <s v="NR"/>
    <m/>
  </r>
  <r>
    <n v="58"/>
    <x v="4"/>
    <s v="Penguard Express Grey"/>
    <s v="A"/>
    <s v="L"/>
    <n v="16"/>
    <n v="1"/>
    <n v="16"/>
    <m/>
    <n v="0"/>
    <n v="16"/>
    <s v="done"/>
    <n v="3061070"/>
    <s v="Ayana "/>
    <n v="4"/>
    <d v="2023-02-15T00:00:00"/>
    <d v="2025-02-14T00:00:00"/>
    <d v="2025-07-30T00:00:00"/>
    <n v="-166"/>
    <x v="0"/>
    <s v="Expired more than 45 Days"/>
    <x v="0"/>
    <s v="DFIPL Purchase"/>
    <m/>
    <s v="NR"/>
    <m/>
  </r>
  <r>
    <n v="106"/>
    <x v="19"/>
    <s v="Hempathane HS 55610"/>
    <s v="A"/>
    <s v="L"/>
    <n v="17.5"/>
    <n v="1"/>
    <n v="17.5"/>
    <m/>
    <n v="0"/>
    <n v="17.5"/>
    <s v="done"/>
    <n v="73025053"/>
    <s v="Senvion"/>
    <n v="4"/>
    <d v="2023-02-14T00:00:00"/>
    <d v="2025-02-14T00:00:00"/>
    <d v="2025-07-30T00:00:00"/>
    <n v="-166"/>
    <x v="0"/>
    <s v="Expired more than 45 Days"/>
    <x v="1"/>
    <e v="#N/A"/>
    <s v="reason"/>
    <s v="NR"/>
    <m/>
  </r>
  <r>
    <n v="174"/>
    <x v="4"/>
    <s v="Penguard Express Grey"/>
    <s v="A"/>
    <s v="L"/>
    <n v="16"/>
    <n v="1"/>
    <n v="16"/>
    <m/>
    <n v="0"/>
    <n v="16"/>
    <s v="done"/>
    <n v="3061070"/>
    <s v="SGRE"/>
    <n v="2"/>
    <d v="2023-02-15T00:00:00"/>
    <d v="2025-02-14T00:00:00"/>
    <d v="2025-07-30T00:00:00"/>
    <n v="-166"/>
    <x v="0"/>
    <s v="Expired more than 45 Days"/>
    <x v="0"/>
    <s v="DFIPL Purchase"/>
    <m/>
    <s v="NR"/>
    <m/>
  </r>
  <r>
    <n v="108"/>
    <x v="20"/>
    <s v="Penguard Express RAL 9018"/>
    <s v="A"/>
    <s v="L"/>
    <n v="16"/>
    <n v="1"/>
    <n v="16"/>
    <m/>
    <n v="0"/>
    <n v="16"/>
    <s v="done"/>
    <n v="3070411"/>
    <s v="Ayana "/>
    <n v="4"/>
    <d v="2023-02-24T00:00:00"/>
    <d v="2025-02-23T00:00:00"/>
    <d v="2025-07-30T00:00:00"/>
    <n v="-157"/>
    <x v="0"/>
    <s v="Expired more than 45 Days"/>
    <x v="0"/>
    <s v="DFIPL Purchase"/>
    <m/>
    <s v="NR"/>
    <m/>
  </r>
  <r>
    <n v="59"/>
    <x v="21"/>
    <s v="Hardtop XP 1021 A"/>
    <s v="A"/>
    <s v="L"/>
    <n v="16.829999999999998"/>
    <n v="1"/>
    <n v="16.829999999999998"/>
    <m/>
    <n v="0"/>
    <n v="16.829999999999998"/>
    <s v="done"/>
    <n v="2426573"/>
    <s v="Ayana "/>
    <n v="4"/>
    <d v="2021-03-06T00:00:00"/>
    <d v="2025-03-05T00:00:00"/>
    <d v="2025-07-30T00:00:00"/>
    <n v="-147"/>
    <x v="0"/>
    <s v="Expired more than 45 Days"/>
    <x v="0"/>
    <s v="DFIPL Purchase"/>
    <m/>
    <s v="NR"/>
    <m/>
  </r>
  <r>
    <n v="105"/>
    <x v="22"/>
    <s v="Hempathane HS 5561"/>
    <s v="A"/>
    <s v="L"/>
    <n v="17.5"/>
    <n v="7"/>
    <n v="122.5"/>
    <m/>
    <n v="0"/>
    <n v="122.5"/>
    <s v="done"/>
    <n v="73045293"/>
    <s v="Senvion"/>
    <n v="4"/>
    <d v="2023-04-28T00:00:00"/>
    <d v="2025-04-28T00:00:00"/>
    <d v="2025-07-30T00:00:00"/>
    <n v="-93"/>
    <x v="0"/>
    <s v="Expired more than 45 Days"/>
    <x v="1"/>
    <e v="#N/A"/>
    <s v="reason"/>
    <s v="NR"/>
    <m/>
  </r>
  <r>
    <n v="176"/>
    <x v="23"/>
    <s v="Penguard Express Grey"/>
    <s v="A"/>
    <s v="L"/>
    <n v="16"/>
    <n v="2"/>
    <n v="32"/>
    <m/>
    <n v="0"/>
    <n v="32"/>
    <s v="done"/>
    <n v="3188271"/>
    <s v="Renew"/>
    <n v="2"/>
    <d v="2023-06-22T00:00:00"/>
    <d v="2025-06-21T00:00:00"/>
    <d v="2025-07-30T00:00:00"/>
    <n v="-39"/>
    <x v="0"/>
    <s v="Recently Expired within 45 Days ago"/>
    <x v="1"/>
    <e v="#N/A"/>
    <s v="reason"/>
    <s v="NR"/>
    <m/>
  </r>
  <r>
    <n v="177"/>
    <x v="23"/>
    <s v="Penguard Express Grey"/>
    <s v="A"/>
    <s v="L"/>
    <n v="16"/>
    <n v="5"/>
    <n v="80"/>
    <m/>
    <n v="0"/>
    <n v="80"/>
    <s v="done"/>
    <n v="3188354"/>
    <s v="Renew"/>
    <n v="2"/>
    <d v="2023-06-22T00:00:00"/>
    <d v="2025-06-21T00:00:00"/>
    <d v="2025-07-30T00:00:00"/>
    <n v="-39"/>
    <x v="0"/>
    <s v="Recently Expired within 45 Days ago"/>
    <x v="1"/>
    <e v="#N/A"/>
    <s v="reason"/>
    <s v="NR"/>
    <m/>
  </r>
  <r>
    <n v="217"/>
    <x v="24"/>
    <s v="Resist 86 Grey A"/>
    <s v="A"/>
    <s v="L"/>
    <n v="8"/>
    <n v="3"/>
    <n v="24"/>
    <m/>
    <n v="0"/>
    <n v="24"/>
    <s v="done"/>
    <n v="3773005"/>
    <s v="SGRE"/>
    <n v="2"/>
    <d v="2024-12-19T00:00:00"/>
    <d v="2025-06-26T00:00:00"/>
    <d v="2025-07-30T00:00:00"/>
    <n v="-34"/>
    <x v="0"/>
    <s v="Recently Expired within 45 Days ago"/>
    <x v="0"/>
    <s v="DFIPL Purchase"/>
    <m/>
    <s v="NR"/>
    <m/>
  </r>
  <r>
    <n v="225"/>
    <x v="2"/>
    <s v="Barrier 80 X Comp. B"/>
    <s v="B"/>
    <s v="L"/>
    <n v="1.8"/>
    <n v="2"/>
    <n v="3.6"/>
    <m/>
    <n v="0"/>
    <n v="3.6"/>
    <s v="done"/>
    <n v="3215909"/>
    <s v="SGRE"/>
    <n v="2"/>
    <d v="2023-07-24T00:00:00"/>
    <d v="2025-07-23T00:00:00"/>
    <d v="2025-07-30T00:00:00"/>
    <n v="-7"/>
    <x v="0"/>
    <s v="Recently Expired within 45 Days ago"/>
    <x v="0"/>
    <s v="DFIPL Purchase"/>
    <m/>
    <s v="NR"/>
    <m/>
  </r>
  <r>
    <n v="216"/>
    <x v="25"/>
    <s v="Penguard Express RAL 9018"/>
    <s v="A"/>
    <s v="L"/>
    <n v="16"/>
    <n v="1"/>
    <n v="16"/>
    <m/>
    <n v="0"/>
    <n v="16"/>
    <s v="done"/>
    <n v="3221407"/>
    <s v="Renew"/>
    <n v="2"/>
    <d v="2023-07-28T00:00:00"/>
    <d v="2025-07-27T00:00:00"/>
    <d v="2025-07-30T00:00:00"/>
    <n v="-3"/>
    <x v="0"/>
    <s v="Recently Expired within 45 Days ago"/>
    <x v="1"/>
    <e v="#N/A"/>
    <m/>
    <s v="NR"/>
    <m/>
  </r>
  <r>
    <n v="32"/>
    <x v="0"/>
    <s v="Jotun Barrier 80S Grey A "/>
    <s v="A"/>
    <s v="L"/>
    <n v="7.5"/>
    <n v="2"/>
    <n v="15"/>
    <m/>
    <n v="0"/>
    <n v="15"/>
    <s v="done"/>
    <n v="3231343"/>
    <s v="Ayana "/>
    <n v="4"/>
    <d v="2023-08-08T00:00:00"/>
    <d v="2025-08-07T00:00:00"/>
    <d v="2025-07-30T00:00:00"/>
    <n v="8"/>
    <x v="1"/>
    <s v="Will be Expire within 45 Days"/>
    <x v="0"/>
    <s v="DFIPL Purchase"/>
    <m/>
    <s v="NR"/>
    <m/>
  </r>
  <r>
    <n v="180"/>
    <x v="6"/>
    <s v="Penguard Express Comp B"/>
    <s v="B"/>
    <s v="L"/>
    <n v="4"/>
    <n v="9"/>
    <n v="36"/>
    <n v="9"/>
    <n v="36"/>
    <n v="0"/>
    <s v="done"/>
    <n v="3249888"/>
    <s v="SGRE"/>
    <n v="2"/>
    <d v="2023-08-25T00:00:00"/>
    <d v="2025-08-24T00:00:00"/>
    <d v="2025-07-30T00:00:00"/>
    <n v="25"/>
    <x v="1"/>
    <s v="Will be Expire within 45 Days"/>
    <x v="0"/>
    <s v="DFIPL Purchase"/>
    <m/>
    <s v="NR"/>
    <s v="SGRE 620173 S3 DT. 02.08.2025"/>
  </r>
  <r>
    <n v="13"/>
    <x v="26"/>
    <s v="Hempaprime Core 500 47680 RAL 9018"/>
    <s v="A"/>
    <s v="L"/>
    <n v="16.399999999999999"/>
    <n v="13"/>
    <n v="213.2"/>
    <m/>
    <n v="0"/>
    <n v="213.2"/>
    <s v="done"/>
    <n v="74085142"/>
    <s v="Ayana "/>
    <n v="3"/>
    <d v="2024-08-28T00:00:00"/>
    <d v="2025-08-28T00:00:00"/>
    <d v="2025-07-30T00:00:00"/>
    <n v="29"/>
    <x v="1"/>
    <s v="Will be Expire within 45 Days"/>
    <x v="0"/>
    <s v="DFIPL Purchase"/>
    <m/>
    <s v="NR"/>
    <s v="AYANA 364 TN 01 S1"/>
  </r>
  <r>
    <n v="1"/>
    <x v="27"/>
    <s v="Hempel's Curing Agent 97068"/>
    <s v="B"/>
    <s v="L"/>
    <n v="3.6"/>
    <n v="4"/>
    <n v="14.4"/>
    <m/>
    <n v="0"/>
    <n v="14.4"/>
    <s v="done"/>
    <n v="74055154"/>
    <s v="Ayana "/>
    <n v="3"/>
    <d v="2024-05-21T00:00:00"/>
    <d v="2025-08-30T00:00:00"/>
    <d v="2025-07-30T00:00:00"/>
    <n v="31"/>
    <x v="1"/>
    <s v="Will be Expire within 45 Days"/>
    <x v="0"/>
    <s v="DFIPL Purchase"/>
    <s v="New date changed"/>
    <s v="NR"/>
    <s v="AYANA 364 TN 01 S1"/>
  </r>
  <r>
    <n v="2"/>
    <x v="28"/>
    <s v="Hempel's Curing Agent 97068"/>
    <s v="B"/>
    <s v="L"/>
    <n v="3.6"/>
    <n v="24"/>
    <n v="86.4"/>
    <m/>
    <n v="0"/>
    <n v="86.4"/>
    <s v="done"/>
    <n v="74065098"/>
    <s v="Ayana "/>
    <n v="3"/>
    <d v="2024-06-13T00:00:00"/>
    <d v="2025-08-30T00:00:00"/>
    <d v="2025-07-30T00:00:00"/>
    <n v="31"/>
    <x v="1"/>
    <s v="Will be Expire within 45 Days"/>
    <x v="0"/>
    <s v="DFIPL Purchase"/>
    <s v="New date changed"/>
    <s v="NR"/>
    <m/>
  </r>
  <r>
    <n v="190"/>
    <x v="29"/>
    <s v="Hardtop WT8 Comp B"/>
    <s v="B"/>
    <s v="L"/>
    <n v="3.3"/>
    <n v="17"/>
    <n v="56.099999999999994"/>
    <n v="3"/>
    <n v="9.8999999999999986"/>
    <n v="46.199999999999996"/>
    <s v="done"/>
    <n v="2445230"/>
    <s v="SGRE"/>
    <n v="2"/>
    <d v="2021-03-10T00:00:00"/>
    <d v="2025-09-08T00:00:00"/>
    <d v="2025-07-30T00:00:00"/>
    <n v="40"/>
    <x v="1"/>
    <s v="Will be Expire within 45 Days"/>
    <x v="0"/>
    <s v="DFIPL Purchase"/>
    <s v="New date changed"/>
    <s v="NR"/>
    <s v="SGRE 620215 S5 Dt. 14.07.2025, SGRE 620173 S3 DT. 02.08.2025"/>
  </r>
  <r>
    <n v="198"/>
    <x v="18"/>
    <s v="Hardtop WT8 RAL 9018"/>
    <s v="A"/>
    <s v="L"/>
    <n v="16.7"/>
    <n v="9"/>
    <n v="150.29999999999998"/>
    <n v="3"/>
    <n v="50.099999999999994"/>
    <n v="100.19999999999999"/>
    <s v="done"/>
    <n v="2436400"/>
    <s v="SGRE"/>
    <n v="2"/>
    <d v="2021-03-10T00:00:00"/>
    <d v="2025-09-08T00:00:00"/>
    <d v="2025-07-30T00:00:00"/>
    <n v="40"/>
    <x v="1"/>
    <s v="Will be Expire within 45 Days"/>
    <x v="0"/>
    <s v="DFIPL Purchase"/>
    <s v="New date changed"/>
    <s v="NR"/>
    <s v="SGRE 620215 S5 Dt. 14.07.2025, SGRE 620173 S3 DT. 02.08.2025"/>
  </r>
  <r>
    <n v="199"/>
    <x v="18"/>
    <s v="Hardtop WT8 RAL 9018"/>
    <s v="A"/>
    <s v="L"/>
    <n v="16.7"/>
    <n v="11"/>
    <n v="183.7"/>
    <m/>
    <n v="0"/>
    <n v="183.7"/>
    <s v="done"/>
    <n v="2471867"/>
    <s v="SGRE"/>
    <n v="2"/>
    <d v="2021-04-13T00:00:00"/>
    <d v="2025-10-11T00:00:00"/>
    <d v="2025-07-30T00:00:00"/>
    <n v="73"/>
    <x v="1"/>
    <s v="Not Expire"/>
    <x v="0"/>
    <s v="DFIPL Purchase"/>
    <s v="New date changed"/>
    <s v="NR"/>
    <m/>
  </r>
  <r>
    <n v="30"/>
    <x v="0"/>
    <s v="Jotun Barrier 80S Grey A "/>
    <s v="A"/>
    <s v="L"/>
    <n v="7.5"/>
    <n v="1"/>
    <n v="7.5"/>
    <m/>
    <n v="0"/>
    <n v="7.5"/>
    <s v="done"/>
    <n v="3338629"/>
    <s v="Ayana "/>
    <n v="4"/>
    <d v="2023-11-21T00:00:00"/>
    <d v="2025-11-20T00:00:00"/>
    <d v="2025-07-30T00:00:00"/>
    <n v="113"/>
    <x v="1"/>
    <s v="Not Expire"/>
    <x v="0"/>
    <s v="DFIPL Purchase"/>
    <m/>
    <s v="NR"/>
    <m/>
  </r>
  <r>
    <n v="165"/>
    <x v="5"/>
    <s v="Penguard Express CF RAL 1013"/>
    <s v="A"/>
    <s v="L"/>
    <n v="16"/>
    <n v="13"/>
    <n v="208"/>
    <m/>
    <n v="0"/>
    <n v="208"/>
    <s v="done"/>
    <n v="3178851"/>
    <s v="SGRE"/>
    <n v="2"/>
    <d v="2023-06-14T00:00:00"/>
    <d v="2025-12-12T00:00:00"/>
    <d v="2025-07-30T00:00:00"/>
    <n v="135"/>
    <x v="1"/>
    <s v="Not Expire"/>
    <x v="0"/>
    <s v="DFIPL Purchase"/>
    <s v="New date changed"/>
    <s v="NR"/>
    <s v="SGRE 620215 S5 Dt. 14.07.2025"/>
  </r>
  <r>
    <n v="208"/>
    <x v="5"/>
    <s v="Penguard Express CF Comp B"/>
    <s v="B"/>
    <s v="L"/>
    <n v="4"/>
    <n v="15"/>
    <n v="60"/>
    <n v="3"/>
    <n v="12"/>
    <n v="48"/>
    <s v="done"/>
    <n v="3178665"/>
    <s v="SGRE"/>
    <n v="2"/>
    <d v="2023-06-14T00:00:00"/>
    <d v="2025-12-12T00:00:00"/>
    <d v="2025-07-30T00:00:00"/>
    <n v="135"/>
    <x v="1"/>
    <s v="Not Expire"/>
    <x v="0"/>
    <s v="DFIPL Purchase"/>
    <s v="New date changed"/>
    <s v="NR"/>
    <s v="SGRE 620215 S5 Dt. 14.07.2025, SGRE 620173 S3 DT. 02.08.2025"/>
  </r>
  <r>
    <n v="211"/>
    <x v="5"/>
    <s v="Penguard Express CF Comp B"/>
    <s v="B"/>
    <s v="L"/>
    <n v="4"/>
    <n v="1"/>
    <n v="4"/>
    <m/>
    <n v="0"/>
    <n v="4"/>
    <s v="done"/>
    <n v="3178665"/>
    <s v="SGRE"/>
    <n v="2"/>
    <d v="2023-06-14T00:00:00"/>
    <d v="2025-12-12T00:00:00"/>
    <d v="2025-07-30T00:00:00"/>
    <n v="135"/>
    <x v="1"/>
    <s v="Not Expire"/>
    <x v="0"/>
    <s v="DFIPL Purchase"/>
    <s v="New date changed"/>
    <s v="NR"/>
    <m/>
  </r>
  <r>
    <n v="90"/>
    <x v="30"/>
    <s v="Hempadur Avantguard 750"/>
    <s v="A"/>
    <s v="L"/>
    <n v="8.5"/>
    <n v="49"/>
    <n v="416.5"/>
    <n v="3"/>
    <n v="25.5"/>
    <n v="391"/>
    <s v="done"/>
    <n v="605010596"/>
    <s v="Adani"/>
    <n v="1"/>
    <d v="2025-01-24T00:00:00"/>
    <d v="2026-01-24T00:00:00"/>
    <d v="2025-07-30T00:00:00"/>
    <n v="178"/>
    <x v="1"/>
    <s v="Not Expire"/>
    <x v="1"/>
    <e v="#N/A"/>
    <m/>
    <s v="NR"/>
    <s v="ADANI TN 19 SG2, ADANI TN 19 SG3, ADANI TN 19 SG1, ADANI TN 19 SG5"/>
  </r>
  <r>
    <n v="206"/>
    <x v="31"/>
    <s v="Hardtop XP RAL 9018"/>
    <s v="A"/>
    <s v="L"/>
    <n v="18.2"/>
    <n v="6"/>
    <n v="109.19999999999999"/>
    <m/>
    <n v="0"/>
    <n v="109.19999999999999"/>
    <s v="done"/>
    <n v="2721654"/>
    <s v="SGRE"/>
    <n v="2"/>
    <d v="2022-01-28T00:00:00"/>
    <d v="2026-01-27T00:00:00"/>
    <d v="2025-07-30T00:00:00"/>
    <n v="181"/>
    <x v="1"/>
    <s v="Not Expire"/>
    <x v="0"/>
    <s v="DFIPL Purchase"/>
    <m/>
    <s v="NR"/>
    <m/>
  </r>
  <r>
    <n v="31"/>
    <x v="0"/>
    <s v="Jotun Barrier 80S Grey A "/>
    <s v="A"/>
    <s v="L"/>
    <n v="7.5"/>
    <n v="1"/>
    <n v="7.5"/>
    <m/>
    <n v="0"/>
    <n v="7.5"/>
    <s v="done"/>
    <n v="3413309"/>
    <s v="Ayana "/>
    <n v="4"/>
    <d v="2024-02-01T00:00:00"/>
    <d v="2026-01-31T00:00:00"/>
    <d v="2025-07-30T00:00:00"/>
    <n v="185"/>
    <x v="1"/>
    <s v="Not Expire"/>
    <x v="0"/>
    <s v="DFIPL Purchase"/>
    <m/>
    <s v="NR"/>
    <m/>
  </r>
  <r>
    <n v="43"/>
    <x v="2"/>
    <s v="Jotun Barrier 80S Comp B"/>
    <s v="B"/>
    <s v="L"/>
    <n v="1.25"/>
    <n v="6"/>
    <n v="7.5"/>
    <n v="1"/>
    <n v="1.25"/>
    <n v="6.25"/>
    <s v="done"/>
    <n v="3413173"/>
    <s v="Ayana "/>
    <n v="4"/>
    <d v="2024-02-01T00:00:00"/>
    <d v="2026-01-31T00:00:00"/>
    <d v="2025-07-30T00:00:00"/>
    <n v="185"/>
    <x v="1"/>
    <s v="Not Expire"/>
    <x v="0"/>
    <s v="DFIPL Purchase"/>
    <m/>
    <s v="NR"/>
    <s v="WELSPUN TN 6 S3, WELSPUN TN 7 S4 DT. 28.07.2025 "/>
  </r>
  <r>
    <n v="46"/>
    <x v="32"/>
    <s v="Hempaprime Core 500 "/>
    <s v="A"/>
    <s v="L"/>
    <n v="16.399999999999999"/>
    <n v="15"/>
    <n v="245.99999999999997"/>
    <m/>
    <n v="0"/>
    <n v="245.99999999999997"/>
    <s v="done"/>
    <n v="74095323"/>
    <s v="Ayana "/>
    <n v="3"/>
    <d v="2024-10-15T00:00:00"/>
    <d v="2026-02-15T00:00:00"/>
    <d v="2025-07-30T00:00:00"/>
    <n v="200"/>
    <x v="1"/>
    <s v="Not Expire"/>
    <x v="0"/>
    <s v="DFIPL Purchase"/>
    <m/>
    <s v="NR"/>
    <s v="AYANA 364 TN 01 S1"/>
  </r>
  <r>
    <n v="75"/>
    <x v="33"/>
    <s v="Hempel's Curing Agent 95090"/>
    <s v="B"/>
    <s v="L"/>
    <n v="4"/>
    <n v="3"/>
    <n v="12"/>
    <m/>
    <n v="0"/>
    <n v="12"/>
    <s v="done"/>
    <n v="74115081"/>
    <s v="Adani"/>
    <n v="1"/>
    <d v="2024-11-08T00:00:00"/>
    <d v="2026-03-08T00:00:00"/>
    <d v="2025-07-30T00:00:00"/>
    <n v="221"/>
    <x v="1"/>
    <s v="Not Expire"/>
    <x v="1"/>
    <e v="#N/A"/>
    <m/>
    <s v="NR"/>
    <m/>
  </r>
  <r>
    <n v="80"/>
    <x v="33"/>
    <s v="Hempel's Curing Agent 95090"/>
    <s v="B"/>
    <s v="L"/>
    <n v="4"/>
    <n v="61"/>
    <n v="244"/>
    <m/>
    <n v="0"/>
    <n v="244"/>
    <s v="done"/>
    <n v="74115099"/>
    <s v="Adani"/>
    <n v="1"/>
    <d v="2024-11-18T00:00:00"/>
    <d v="2026-03-18T00:00:00"/>
    <d v="2025-07-30T00:00:00"/>
    <n v="231"/>
    <x v="1"/>
    <s v="Not Expire"/>
    <x v="1"/>
    <e v="#N/A"/>
    <m/>
    <s v="NR"/>
    <s v="ADANI TN 19 SG2, ADANI TN 19 SG3, ADANI TN 19 SG1, ADANI TN 19 SG4 "/>
  </r>
  <r>
    <n v="70"/>
    <x v="14"/>
    <s v="Hemaprime Multi 500"/>
    <s v="A"/>
    <s v="L"/>
    <n v="16"/>
    <n v="3"/>
    <n v="48"/>
    <n v="3"/>
    <n v="48"/>
    <n v="0"/>
    <s v="done"/>
    <n v="74105030"/>
    <s v="Adani"/>
    <n v="1"/>
    <d v="2024-11-22T00:00:00"/>
    <d v="2026-03-22T00:00:00"/>
    <d v="2025-07-30T00:00:00"/>
    <n v="235"/>
    <x v="1"/>
    <s v="Not Expire"/>
    <x v="1"/>
    <e v="#N/A"/>
    <m/>
    <s v="NR"/>
    <s v="ADANI TN 19 SG5"/>
  </r>
  <r>
    <n v="91"/>
    <x v="14"/>
    <s v="Hemaprime Multi 500"/>
    <s v="A"/>
    <s v="L"/>
    <n v="16"/>
    <n v="64"/>
    <n v="1024"/>
    <n v="4"/>
    <n v="64"/>
    <n v="960"/>
    <s v="done"/>
    <n v="74105294"/>
    <s v="Adani"/>
    <n v="1"/>
    <d v="2024-11-25T00:00:00"/>
    <d v="2026-03-25T00:00:00"/>
    <d v="2025-07-30T00:00:00"/>
    <n v="238"/>
    <x v="1"/>
    <s v="Not Expire"/>
    <x v="1"/>
    <e v="#N/A"/>
    <m/>
    <s v="NR"/>
    <s v="ADANI TN 19 SG2, ADANI TN 19 SG3, ADANI TN 19 SG1, ADANI TN 19 SG5"/>
  </r>
  <r>
    <n v="71"/>
    <x v="13"/>
    <s v="Jotun Barrier 80 X Comp A"/>
    <s v="A"/>
    <s v="L"/>
    <n v="9"/>
    <n v="39"/>
    <n v="351"/>
    <m/>
    <n v="0"/>
    <n v="351"/>
    <s v="done"/>
    <n v="3882754"/>
    <s v="INOX"/>
    <n v="4"/>
    <d v="2025-04-10T00:00:00"/>
    <d v="2026-04-10T00:00:00"/>
    <d v="2025-07-30T00:00:00"/>
    <n v="254"/>
    <x v="1"/>
    <s v="Not Expire"/>
    <x v="1"/>
    <e v="#N/A"/>
    <s v="3882754 need to check batch number again 72"/>
    <s v="correction done"/>
    <m/>
  </r>
  <r>
    <n v="184"/>
    <x v="34"/>
    <s v="Hardtop XP Comp B"/>
    <s v="B"/>
    <s v="L"/>
    <n v="1.8"/>
    <n v="2"/>
    <n v="3.6"/>
    <m/>
    <n v="0"/>
    <n v="3.6"/>
    <s v="done"/>
    <n v="2829592"/>
    <s v="SGRE"/>
    <n v="2"/>
    <d v="2022-06-01T00:00:00"/>
    <d v="2026-05-31T00:00:00"/>
    <d v="2025-07-30T00:00:00"/>
    <n v="305"/>
    <x v="1"/>
    <s v="Not Expire"/>
    <x v="0"/>
    <s v="DFIPL Purchase"/>
    <m/>
    <s v="NR"/>
    <m/>
  </r>
  <r>
    <n v="196"/>
    <x v="31"/>
    <s v="Hardtop WT8 RAL 9018"/>
    <s v="A"/>
    <s v="L"/>
    <n v="18.2"/>
    <n v="3"/>
    <n v="54.599999999999994"/>
    <m/>
    <n v="0"/>
    <n v="54.599999999999994"/>
    <s v="done"/>
    <n v="2829609"/>
    <s v="SGRE"/>
    <n v="2"/>
    <d v="2022-06-01T00:00:00"/>
    <d v="2026-05-31T00:00:00"/>
    <d v="2025-07-30T00:00:00"/>
    <n v="305"/>
    <x v="1"/>
    <s v="Not Expire"/>
    <x v="0"/>
    <s v="DFIPL Purchase"/>
    <s v="need to check tin/ltr might be 16.7"/>
    <s v="OK checked again"/>
    <m/>
  </r>
  <r>
    <n v="195"/>
    <x v="31"/>
    <s v="Hardtop WT8 RAL 9018"/>
    <s v="A"/>
    <s v="L"/>
    <n v="18.2"/>
    <n v="25"/>
    <n v="455"/>
    <m/>
    <n v="0"/>
    <n v="455"/>
    <s v="done"/>
    <n v="2845867"/>
    <s v="SGRE"/>
    <n v="2"/>
    <d v="2022-06-17T00:00:00"/>
    <d v="2026-06-16T00:00:00"/>
    <d v="2025-07-30T00:00:00"/>
    <n v="321"/>
    <x v="1"/>
    <s v="Not Expire"/>
    <x v="0"/>
    <s v="DFIPL Purchase"/>
    <s v="need to check tin/ltr might be 16.7"/>
    <s v="OK checked again"/>
    <m/>
  </r>
  <r>
    <n v="189"/>
    <x v="34"/>
    <s v="Hardtop XP Comp B"/>
    <s v="B"/>
    <s v="L"/>
    <n v="1.8"/>
    <n v="18"/>
    <n v="32.4"/>
    <m/>
    <n v="0"/>
    <n v="32.4"/>
    <s v="done"/>
    <n v="2866745"/>
    <s v="SGRE"/>
    <n v="2"/>
    <d v="2022-07-11T00:00:00"/>
    <d v="2026-07-10T00:00:00"/>
    <d v="2025-07-30T00:00:00"/>
    <n v="345"/>
    <x v="1"/>
    <s v="Not Expire"/>
    <x v="0"/>
    <s v="DFIPL Purchase"/>
    <m/>
    <s v="NR"/>
    <m/>
  </r>
  <r>
    <n v="44"/>
    <x v="35"/>
    <s v="Hardtop XP, Comp B"/>
    <s v="B"/>
    <s v="L"/>
    <n v="1.8"/>
    <n v="3"/>
    <n v="5.4"/>
    <m/>
    <n v="0"/>
    <n v="5.4"/>
    <s v="done"/>
    <n v="3593644"/>
    <s v="Ayana "/>
    <n v="4"/>
    <d v="2024-07-29T00:00:00"/>
    <d v="2026-07-28T00:00:00"/>
    <d v="2025-07-30T00:00:00"/>
    <n v="363"/>
    <x v="1"/>
    <s v="Not Expire"/>
    <x v="0"/>
    <s v="DFIPL Purchase"/>
    <m/>
    <s v="NR"/>
    <m/>
  </r>
  <r>
    <n v="62"/>
    <x v="4"/>
    <s v="Penguard Exp. Gray A"/>
    <s v="A"/>
    <s v="L"/>
    <n v="16"/>
    <n v="2"/>
    <n v="32"/>
    <m/>
    <n v="0"/>
    <n v="32"/>
    <s v="done"/>
    <n v="3597698"/>
    <s v="Ayana "/>
    <n v="4"/>
    <d v="2024-07-31T00:00:00"/>
    <d v="2026-07-31T00:00:00"/>
    <d v="2025-07-30T00:00:00"/>
    <n v="366"/>
    <x v="1"/>
    <s v="Not Expire"/>
    <x v="0"/>
    <s v="DFIPL Purchase"/>
    <m/>
    <s v="NR"/>
    <m/>
  </r>
  <r>
    <n v="88"/>
    <x v="20"/>
    <s v="Penguard Express Grey"/>
    <s v="A"/>
    <s v="L"/>
    <n v="16"/>
    <n v="1"/>
    <n v="16"/>
    <m/>
    <n v="0"/>
    <n v="16"/>
    <s v="done"/>
    <n v="3587698"/>
    <s v="Ayana "/>
    <n v="4"/>
    <d v="2024-07-31T00:00:00"/>
    <d v="2026-07-31T00:00:00"/>
    <d v="2025-07-30T00:00:00"/>
    <n v="366"/>
    <x v="1"/>
    <s v="Not Expire"/>
    <x v="0"/>
    <s v="DFIPL Purchase"/>
    <m/>
    <s v="NR"/>
    <m/>
  </r>
  <r>
    <n v="138"/>
    <x v="36"/>
    <s v="Hempal Curing Agent 95070 B"/>
    <s v="B"/>
    <s v="L"/>
    <n v="2.5"/>
    <n v="57"/>
    <n v="142.5"/>
    <m/>
    <n v="0"/>
    <n v="142.5"/>
    <s v="done"/>
    <n v="75045922"/>
    <s v="Adani"/>
    <n v="1"/>
    <d v="2025-04-04T00:00:00"/>
    <d v="2026-08-04T00:00:00"/>
    <d v="2025-07-30T00:00:00"/>
    <n v="370"/>
    <x v="1"/>
    <s v="Not Expire"/>
    <x v="1"/>
    <e v="#N/A"/>
    <m/>
    <s v="NR"/>
    <s v="ADANI TN 19 SG2, ADANI TN 19 SG4, ADANI TN 19 SG1"/>
  </r>
  <r>
    <n v="135"/>
    <x v="37"/>
    <s v="Hempel Curing agent 95090"/>
    <s v="B"/>
    <s v="L"/>
    <n v="4"/>
    <n v="134"/>
    <n v="536"/>
    <n v="7"/>
    <n v="28"/>
    <n v="508"/>
    <s v="done"/>
    <n v="75045027"/>
    <s v="Adani"/>
    <n v="1"/>
    <d v="2025-04-07T00:00:00"/>
    <d v="2026-08-07T00:00:00"/>
    <d v="2025-07-30T00:00:00"/>
    <n v="373"/>
    <x v="1"/>
    <s v="Not Expire"/>
    <x v="1"/>
    <e v="#N/A"/>
    <m/>
    <s v="NR"/>
    <s v="ADANI TN 19 SG5"/>
  </r>
  <r>
    <n v="63"/>
    <x v="4"/>
    <s v="Penguard Express Grey"/>
    <s v="A"/>
    <s v="L"/>
    <n v="16"/>
    <n v="1"/>
    <n v="16"/>
    <m/>
    <n v="0"/>
    <n v="16"/>
    <s v="done"/>
    <n v="3604593"/>
    <s v="Ayana "/>
    <n v="4"/>
    <d v="2024-08-08T00:00:00"/>
    <d v="2026-08-08T00:00:00"/>
    <d v="2025-07-30T00:00:00"/>
    <n v="374"/>
    <x v="1"/>
    <s v="Not Expire"/>
    <x v="0"/>
    <s v="DFIPL Purchase"/>
    <m/>
    <s v="NR"/>
    <m/>
  </r>
  <r>
    <n v="134"/>
    <x v="14"/>
    <s v="Hemaprime Multi 500"/>
    <s v="A"/>
    <s v="L"/>
    <n v="16"/>
    <n v="128"/>
    <n v="2048"/>
    <m/>
    <n v="0"/>
    <n v="2048"/>
    <s v="done"/>
    <n v="75045064"/>
    <s v="Adani"/>
    <n v="1"/>
    <d v="2025-04-16T00:00:00"/>
    <d v="2026-08-16T00:00:00"/>
    <d v="2025-07-30T00:00:00"/>
    <n v="382"/>
    <x v="1"/>
    <s v="Not Expire"/>
    <x v="1"/>
    <e v="#N/A"/>
    <m/>
    <s v="NR"/>
    <m/>
  </r>
  <r>
    <n v="89"/>
    <x v="4"/>
    <s v="Penguard Express Grey"/>
    <s v="A"/>
    <s v="L"/>
    <n v="16"/>
    <n v="9"/>
    <n v="144"/>
    <m/>
    <n v="0"/>
    <n v="144"/>
    <s v="done"/>
    <n v="3628121"/>
    <s v="Ayana "/>
    <n v="4"/>
    <d v="2024-08-30T00:00:00"/>
    <d v="2026-08-20T00:00:00"/>
    <d v="2025-07-30T00:00:00"/>
    <n v="386"/>
    <x v="1"/>
    <s v="Not Expire"/>
    <x v="0"/>
    <s v="DFIPL Purchase"/>
    <m/>
    <s v="NR"/>
    <m/>
  </r>
  <r>
    <n v="84"/>
    <x v="38"/>
    <s v="Hempel Curing agent 97050"/>
    <s v="B"/>
    <s v="L"/>
    <n v="2.5"/>
    <n v="10"/>
    <n v="25"/>
    <n v="4"/>
    <n v="10"/>
    <n v="15"/>
    <s v="done"/>
    <n v="75045187"/>
    <s v="Adani"/>
    <n v="1"/>
    <d v="2025-04-25T00:00:00"/>
    <d v="2026-08-25T00:00:00"/>
    <d v="2025-07-30T00:00:00"/>
    <n v="391"/>
    <x v="1"/>
    <s v="Not Expire"/>
    <x v="1"/>
    <e v="#N/A"/>
    <m/>
    <s v="NR"/>
    <s v="AYANA 364 TN 01 S1, ADANI TN 19 SG3, ADANI TN 19 SG5"/>
  </r>
  <r>
    <n v="87"/>
    <x v="4"/>
    <s v="Penguard Express Grey"/>
    <s v="A"/>
    <s v="L"/>
    <n v="16"/>
    <n v="3"/>
    <n v="48"/>
    <m/>
    <n v="0"/>
    <n v="48"/>
    <s v="done"/>
    <n v="3624897"/>
    <s v="Ayana "/>
    <n v="4"/>
    <d v="2024-08-28T00:00:00"/>
    <d v="2026-08-28T00:00:00"/>
    <d v="2025-07-30T00:00:00"/>
    <n v="394"/>
    <x v="1"/>
    <s v="Not Expire"/>
    <x v="0"/>
    <s v="DFIPL Purchase"/>
    <m/>
    <s v="NR"/>
    <m/>
  </r>
  <r>
    <n v="33"/>
    <x v="6"/>
    <s v="Penguard Express Comp B"/>
    <s v="B"/>
    <s v="L"/>
    <n v="4"/>
    <n v="4"/>
    <n v="16"/>
    <m/>
    <n v="0"/>
    <n v="16"/>
    <s v="done"/>
    <n v="3626370"/>
    <s v="Ayana "/>
    <n v="4"/>
    <d v="2024-08-29T00:00:00"/>
    <d v="2026-08-29T00:00:00"/>
    <d v="2025-07-30T00:00:00"/>
    <n v="395"/>
    <x v="1"/>
    <s v="Not Expire"/>
    <x v="0"/>
    <s v="DFIPL Purchase"/>
    <m/>
    <s v="NR"/>
    <m/>
  </r>
  <r>
    <n v="60"/>
    <x v="6"/>
    <s v="Penguard Express Comp B"/>
    <s v="B"/>
    <s v="L"/>
    <n v="4"/>
    <n v="7"/>
    <n v="28"/>
    <m/>
    <n v="0"/>
    <n v="28"/>
    <s v="done"/>
    <n v="3628963"/>
    <s v="Ayana "/>
    <n v="4"/>
    <d v="2024-09-02T00:00:00"/>
    <d v="2026-09-02T00:00:00"/>
    <d v="2025-07-30T00:00:00"/>
    <n v="399"/>
    <x v="1"/>
    <s v="Not Expire"/>
    <x v="0"/>
    <s v="DFIPL Purchase"/>
    <m/>
    <s v="NR"/>
    <m/>
  </r>
  <r>
    <n v="64"/>
    <x v="20"/>
    <s v="Penguard Express RAL 9018"/>
    <s v="A"/>
    <s v="L"/>
    <n v="16"/>
    <n v="1"/>
    <n v="16"/>
    <m/>
    <n v="0"/>
    <n v="16"/>
    <s v="done"/>
    <n v="3630657"/>
    <s v="Ayana "/>
    <n v="4"/>
    <d v="2024-09-03T00:00:00"/>
    <d v="2026-09-03T00:00:00"/>
    <d v="2025-07-30T00:00:00"/>
    <n v="400"/>
    <x v="1"/>
    <s v="Not Expire"/>
    <x v="0"/>
    <s v="DFIPL Purchase"/>
    <m/>
    <s v="NR"/>
    <m/>
  </r>
  <r>
    <n v="215"/>
    <x v="25"/>
    <s v="Penguard Express RAL 9018"/>
    <s v="A"/>
    <s v="L"/>
    <n v="16"/>
    <n v="1"/>
    <n v="16"/>
    <m/>
    <n v="0"/>
    <n v="16"/>
    <s v="done"/>
    <n v="3631958"/>
    <s v="Renew"/>
    <n v="2"/>
    <d v="2024-09-04T00:00:00"/>
    <d v="2026-09-04T00:00:00"/>
    <d v="2025-07-30T00:00:00"/>
    <n v="401"/>
    <x v="1"/>
    <s v="Not Expire"/>
    <x v="1"/>
    <e v="#N/A"/>
    <m/>
    <s v="NR"/>
    <m/>
  </r>
  <r>
    <n v="66"/>
    <x v="39"/>
    <s v="Hardtop XP Base 3A RAL 6029"/>
    <s v="A"/>
    <s v="L"/>
    <n v="18.170000000000002"/>
    <n v="1"/>
    <n v="18.170000000000002"/>
    <m/>
    <n v="0"/>
    <n v="18.170000000000002"/>
    <s v="done"/>
    <n v="2921072"/>
    <s v="Ayana "/>
    <n v="4"/>
    <d v="2022-09-12T00:00:00"/>
    <d v="2026-09-11T00:00:00"/>
    <d v="2025-07-30T00:00:00"/>
    <n v="408"/>
    <x v="1"/>
    <s v="Not Expire"/>
    <x v="0"/>
    <s v="DFIPL Purchase"/>
    <m/>
    <s v="NR"/>
    <m/>
  </r>
  <r>
    <n v="110"/>
    <x v="40"/>
    <s v="Hardtop XP Comp B"/>
    <s v="B"/>
    <s v="L"/>
    <n v="1.8"/>
    <n v="1"/>
    <n v="1.8"/>
    <m/>
    <n v="0"/>
    <n v="1.8"/>
    <s v="done"/>
    <n v="2934027"/>
    <s v="Ayana "/>
    <n v="4"/>
    <d v="2022-09-23T00:00:00"/>
    <d v="2026-09-22T00:00:00"/>
    <d v="2025-07-30T00:00:00"/>
    <n v="419"/>
    <x v="1"/>
    <s v="Not Expire"/>
    <x v="0"/>
    <s v="DFIPL Purchase"/>
    <m/>
    <s v="NR"/>
    <m/>
  </r>
  <r>
    <n v="61"/>
    <x v="6"/>
    <s v="Penguard Express Comp B"/>
    <s v="B"/>
    <s v="L"/>
    <n v="4"/>
    <n v="8"/>
    <n v="32"/>
    <m/>
    <n v="0"/>
    <n v="32"/>
    <s v="done"/>
    <n v="3690471"/>
    <s v="Ayana "/>
    <n v="4"/>
    <d v="2024-10-17T00:00:00"/>
    <d v="2026-10-17T00:00:00"/>
    <d v="2025-07-30T00:00:00"/>
    <n v="444"/>
    <x v="1"/>
    <s v="Not Expire"/>
    <x v="0"/>
    <s v="DFIPL Purchase"/>
    <m/>
    <s v="NR"/>
    <m/>
  </r>
  <r>
    <n v="82"/>
    <x v="41"/>
    <s v="Hempathane HS 55610 RAL 7035"/>
    <s v="A"/>
    <s v="L"/>
    <n v="17.5"/>
    <n v="8"/>
    <n v="140"/>
    <n v="2"/>
    <n v="35"/>
    <n v="105"/>
    <s v="done"/>
    <n v="74095319"/>
    <s v="Adani"/>
    <n v="1"/>
    <d v="2024-10-17T00:00:00"/>
    <d v="2026-10-17T00:00:00"/>
    <d v="2025-07-30T00:00:00"/>
    <n v="444"/>
    <x v="1"/>
    <s v="Not Expire"/>
    <x v="1"/>
    <e v="#N/A"/>
    <m/>
    <s v="NR"/>
    <s v="AYANA 364 TN 01 S1, ADANI TN 19 SG3, ADANI TN 19 SG5"/>
  </r>
  <r>
    <n v="109"/>
    <x v="42"/>
    <s v="Hardtop XP Base 1A RAL 9002"/>
    <s v="A"/>
    <s v="L"/>
    <n v="16.47"/>
    <n v="1"/>
    <n v="16.47"/>
    <m/>
    <n v="0"/>
    <n v="16.47"/>
    <s v="done"/>
    <n v="2994594"/>
    <s v="Ayana "/>
    <n v="4"/>
    <d v="2022-11-29T00:00:00"/>
    <d v="2026-11-28T00:00:00"/>
    <d v="2025-07-30T00:00:00"/>
    <n v="486"/>
    <x v="1"/>
    <s v="Not Expire"/>
    <x v="0"/>
    <s v="DFIPL Purchase"/>
    <m/>
    <s v="NR"/>
    <m/>
  </r>
  <r>
    <n v="207"/>
    <x v="42"/>
    <s v="Hardtop XP RAL 9002"/>
    <s v="A"/>
    <s v="L"/>
    <n v="18.2"/>
    <n v="1"/>
    <n v="18.2"/>
    <m/>
    <n v="0"/>
    <n v="18.2"/>
    <s v="done"/>
    <n v="3014769"/>
    <s v="SGRE"/>
    <n v="2"/>
    <d v="2022-12-21T00:00:00"/>
    <d v="2026-12-20T00:00:00"/>
    <d v="2025-07-30T00:00:00"/>
    <n v="508"/>
    <x v="1"/>
    <s v="Not Expire"/>
    <x v="0"/>
    <s v="DFIPL Purchase"/>
    <m/>
    <s v="NR"/>
    <m/>
  </r>
  <r>
    <n v="137"/>
    <x v="43"/>
    <s v="Hempel Curing agent 97043"/>
    <s v="B"/>
    <s v="L"/>
    <n v="1.5"/>
    <n v="12"/>
    <n v="18"/>
    <m/>
    <n v="0"/>
    <n v="18"/>
    <s v="done"/>
    <n v="604120644"/>
    <s v="Adani"/>
    <n v="1"/>
    <d v="2024-12-24T00:00:00"/>
    <d v="2026-12-24T00:00:00"/>
    <d v="2025-07-30T00:00:00"/>
    <n v="512"/>
    <x v="1"/>
    <s v="Not Expire"/>
    <x v="1"/>
    <e v="#N/A"/>
    <m/>
    <s v="NR"/>
    <m/>
  </r>
  <r>
    <n v="205"/>
    <x v="44"/>
    <s v="Hardtop XP RAL 7035 A"/>
    <s v="A"/>
    <s v="L"/>
    <n v="18.2"/>
    <n v="3"/>
    <n v="54.599999999999994"/>
    <m/>
    <n v="0"/>
    <n v="54.599999999999994"/>
    <s v="done"/>
    <n v="3917944"/>
    <s v="SGRE"/>
    <n v="2"/>
    <d v="2022-12-27T00:00:00"/>
    <d v="2026-12-26T00:00:00"/>
    <d v="2025-07-30T00:00:00"/>
    <n v="514"/>
    <x v="1"/>
    <s v="Not Expire"/>
    <x v="0"/>
    <s v="DFIPL Purchase"/>
    <m/>
    <s v="NR"/>
    <m/>
  </r>
  <r>
    <n v="111"/>
    <x v="45"/>
    <s v="Hardtop XP B 6029"/>
    <s v="B"/>
    <s v="L"/>
    <n v="1.8"/>
    <n v="1"/>
    <n v="1.8"/>
    <m/>
    <n v="0"/>
    <n v="1.8"/>
    <s v="done"/>
    <n v="3019219"/>
    <s v="Ayana "/>
    <n v="4"/>
    <d v="2022-12-28T00:00:00"/>
    <d v="2026-12-27T00:00:00"/>
    <d v="2025-07-30T00:00:00"/>
    <n v="515"/>
    <x v="1"/>
    <s v="Not Expire"/>
    <x v="0"/>
    <s v="DFIPL Purchase"/>
    <m/>
    <s v="NR"/>
    <m/>
  </r>
  <r>
    <n v="187"/>
    <x v="34"/>
    <s v="Hardtop XP Comp B"/>
    <s v="B"/>
    <s v="L"/>
    <n v="1.8"/>
    <n v="3"/>
    <n v="5.4"/>
    <m/>
    <n v="0"/>
    <n v="5.4"/>
    <s v="done"/>
    <n v="3021816"/>
    <s v="SGRE"/>
    <n v="2"/>
    <d v="2022-12-30T00:00:00"/>
    <d v="2026-12-29T00:00:00"/>
    <d v="2025-07-30T00:00:00"/>
    <n v="517"/>
    <x v="1"/>
    <s v="Not Expire"/>
    <x v="0"/>
    <s v="DFIPL Purchase"/>
    <m/>
    <s v="NR"/>
    <m/>
  </r>
  <r>
    <n v="175"/>
    <x v="4"/>
    <s v="Penguard Express Grey"/>
    <s v="A"/>
    <s v="L"/>
    <n v="16"/>
    <n v="20"/>
    <n v="320"/>
    <n v="20"/>
    <n v="320"/>
    <n v="0"/>
    <s v="done"/>
    <n v="3785011"/>
    <s v="SGRE"/>
    <n v="2"/>
    <d v="2025-01-03T00:00:00"/>
    <d v="2027-01-03T00:00:00"/>
    <d v="2025-07-30T00:00:00"/>
    <n v="522"/>
    <x v="1"/>
    <s v="Not Expire"/>
    <x v="0"/>
    <s v="DFIPL Purchase"/>
    <m/>
    <s v="NR"/>
    <s v="SGRE 620173 S3 DT. 02.08.2025, SGRE 620205 S5 DT. 12.08.2025"/>
  </r>
  <r>
    <n v="178"/>
    <x v="6"/>
    <s v="Penguard Express Comp B"/>
    <s v="B"/>
    <s v="L"/>
    <n v="4"/>
    <n v="30"/>
    <n v="120"/>
    <n v="15"/>
    <n v="60"/>
    <n v="60"/>
    <s v="done"/>
    <n v="3785028"/>
    <s v="SGRE"/>
    <n v="2"/>
    <d v="2025-01-03T00:00:00"/>
    <d v="2027-01-03T00:00:00"/>
    <d v="2025-07-30T00:00:00"/>
    <n v="522"/>
    <x v="1"/>
    <s v="Not Expire"/>
    <x v="0"/>
    <s v="DFIPL Purchase"/>
    <m/>
    <s v="NR"/>
    <s v="SGRE 620173 S3 DT. 02.08.2025, SGRE 620205 S5 DT. 12.08.2025"/>
  </r>
  <r>
    <n v="181"/>
    <x v="6"/>
    <s v="Penguard Express Comp B"/>
    <s v="B"/>
    <s v="L"/>
    <n v="16"/>
    <n v="2"/>
    <n v="32"/>
    <m/>
    <n v="0"/>
    <n v="32"/>
    <s v="done"/>
    <n v="3785028"/>
    <s v="Renew"/>
    <n v="2"/>
    <d v="2025-01-03T00:00:00"/>
    <d v="2027-01-03T00:00:00"/>
    <d v="2025-07-30T00:00:00"/>
    <n v="522"/>
    <x v="1"/>
    <s v="Not Expire"/>
    <x v="1"/>
    <m/>
    <m/>
    <s v="NR"/>
    <m/>
  </r>
  <r>
    <n v="158"/>
    <x v="5"/>
    <s v="Penguard Express CF RAL 1013"/>
    <s v="A"/>
    <s v="L"/>
    <n v="16"/>
    <n v="23"/>
    <n v="368"/>
    <n v="4"/>
    <n v="64"/>
    <n v="304"/>
    <s v="done"/>
    <n v="3791386"/>
    <s v="SGRE"/>
    <n v="2"/>
    <d v="2025-01-09T00:00:00"/>
    <d v="2027-01-09T00:00:00"/>
    <d v="2025-07-30T00:00:00"/>
    <n v="528"/>
    <x v="1"/>
    <s v="Not Expire"/>
    <x v="0"/>
    <s v="DFIPL Purchase"/>
    <m/>
    <s v="NR"/>
    <s v="SGRE 620205 S5 DT. 12.08.2025"/>
  </r>
  <r>
    <n v="172"/>
    <x v="4"/>
    <s v="Penguard Express Grey"/>
    <s v="A"/>
    <s v="L"/>
    <n v="16"/>
    <n v="11"/>
    <n v="176"/>
    <n v="4"/>
    <n v="64"/>
    <n v="112"/>
    <s v="done"/>
    <n v="3794353"/>
    <s v="SGRE"/>
    <n v="2"/>
    <d v="2025-01-11T00:00:00"/>
    <d v="2027-01-11T00:00:00"/>
    <d v="2025-07-30T00:00:00"/>
    <n v="530"/>
    <x v="1"/>
    <s v="Not Expire"/>
    <x v="0"/>
    <s v="DFIPL Purchase"/>
    <m/>
    <s v="NR"/>
    <s v="SGRE 620205 S5 DT. 12.08.2025"/>
  </r>
  <r>
    <n v="147"/>
    <x v="2"/>
    <s v="Barrier 80 S Gray B"/>
    <s v="B"/>
    <s v="L"/>
    <n v="1.25"/>
    <n v="15"/>
    <n v="18.75"/>
    <n v="3"/>
    <n v="3.75"/>
    <n v="15"/>
    <s v="done"/>
    <n v="3794316"/>
    <s v="ACME 2.O"/>
    <n v="1"/>
    <d v="2025-01-11T00:00:00"/>
    <d v="2027-01-11T00:00:00"/>
    <d v="2025-07-30T00:00:00"/>
    <n v="530"/>
    <x v="1"/>
    <s v="Not Expire"/>
    <x v="0"/>
    <s v="DFIPL Purchase"/>
    <m/>
    <s v="NR"/>
    <s v="ACME TN 7 S4, ACME TN 7 S3, ACME TN 11 S2 DT. 11.08.2025, ACME TN 11 S5 DT. 14.08.2025, ACME TN 12 S4 DT. 25.08.2025"/>
  </r>
  <r>
    <n v="83"/>
    <x v="46"/>
    <s v="Hempel Curing agent 97043"/>
    <s v="B"/>
    <s v="L"/>
    <n v="1.5"/>
    <n v="49"/>
    <n v="73.5"/>
    <n v="3"/>
    <n v="4.5"/>
    <n v="69"/>
    <s v="done"/>
    <n v="75015129"/>
    <s v="Adani"/>
    <n v="1"/>
    <d v="2025-01-13T00:00:00"/>
    <d v="2027-01-13T00:00:00"/>
    <d v="2025-07-30T00:00:00"/>
    <n v="532"/>
    <x v="1"/>
    <s v="Not Expire"/>
    <x v="1"/>
    <e v="#N/A"/>
    <m/>
    <s v="NR"/>
    <s v="ADANI TN 19 SG2, ADANI TN 19 SG3, ADANI TN 19 SG1, ADANI TN 19 SG5"/>
  </r>
  <r>
    <n v="140"/>
    <x v="4"/>
    <s v="Penguard Express Grey"/>
    <s v="A"/>
    <s v="L"/>
    <n v="16"/>
    <n v="0"/>
    <n v="0"/>
    <m/>
    <n v="0"/>
    <n v="0"/>
    <s v="done"/>
    <n v="3813700"/>
    <s v="ACME 2.O"/>
    <n v="1"/>
    <d v="2025-01-31T00:00:00"/>
    <d v="2027-01-31T00:00:00"/>
    <d v="2025-07-30T00:00:00"/>
    <n v="550"/>
    <x v="1"/>
    <s v="Not Expire"/>
    <x v="0"/>
    <s v="DFIPL Purchase"/>
    <m/>
    <s v="NR"/>
    <m/>
  </r>
  <r>
    <n v="18"/>
    <x v="4"/>
    <s v="Penguard Express Grey"/>
    <s v="A"/>
    <s v="L"/>
    <n v="16"/>
    <n v="1"/>
    <n v="16"/>
    <n v="1"/>
    <n v="16"/>
    <n v="0"/>
    <s v="done"/>
    <n v="3828209"/>
    <s v="Welspun"/>
    <n v="3"/>
    <d v="2025-02-15T00:00:00"/>
    <d v="2027-02-15T00:00:00"/>
    <d v="2025-07-30T00:00:00"/>
    <n v="565"/>
    <x v="1"/>
    <s v="Not Expire"/>
    <x v="0"/>
    <s v="DFIPL Purchase"/>
    <m/>
    <s v="NR"/>
    <s v="WELSPUN TN 5 S5, WELSPUN TN 6 S3, WELSPUN TN 6 S5, WELSPUN TN 6 S4, WELSPUN TN 8 S4 DT. 13.08.2025 "/>
  </r>
  <r>
    <n v="38"/>
    <x v="6"/>
    <s v="Penguard Express Comp B"/>
    <s v="B"/>
    <s v="L"/>
    <n v="4"/>
    <n v="1"/>
    <n v="4"/>
    <m/>
    <n v="0"/>
    <n v="4"/>
    <s v="done"/>
    <n v="3828327"/>
    <s v="Ayana "/>
    <n v="4"/>
    <d v="2025-02-15T00:00:00"/>
    <d v="2027-02-15T00:00:00"/>
    <d v="2025-07-30T00:00:00"/>
    <n v="565"/>
    <x v="1"/>
    <s v="Not Expire"/>
    <x v="0"/>
    <s v="DFIPL Purchase"/>
    <m/>
    <s v="NR"/>
    <m/>
  </r>
  <r>
    <n v="139"/>
    <x v="4"/>
    <s v="Penguard Express Grey"/>
    <s v="A"/>
    <s v="L"/>
    <n v="16"/>
    <n v="0"/>
    <n v="0"/>
    <m/>
    <n v="0"/>
    <n v="0"/>
    <s v="done"/>
    <n v="3827803"/>
    <s v="ACME 2.O"/>
    <n v="1"/>
    <d v="2025-02-15T00:00:00"/>
    <d v="2027-02-15T00:00:00"/>
    <d v="2025-07-30T00:00:00"/>
    <n v="565"/>
    <x v="1"/>
    <s v="Not Expire"/>
    <x v="0"/>
    <s v="DFIPL Purchase"/>
    <m/>
    <s v="NR"/>
    <m/>
  </r>
  <r>
    <n v="141"/>
    <x v="4"/>
    <s v="Penguard Express Grey"/>
    <s v="A"/>
    <s v="L"/>
    <n v="16"/>
    <n v="1"/>
    <n v="16"/>
    <n v="1"/>
    <n v="16"/>
    <n v="0"/>
    <s v="done"/>
    <n v="3828209"/>
    <s v="ACME 2.O"/>
    <n v="1"/>
    <d v="2025-02-15T00:00:00"/>
    <d v="2027-02-15T00:00:00"/>
    <d v="2025-07-30T00:00:00"/>
    <n v="565"/>
    <x v="1"/>
    <s v="Not Expire"/>
    <x v="0"/>
    <s v="DFIPL Purchase"/>
    <m/>
    <s v="NR"/>
    <m/>
  </r>
  <r>
    <n v="116"/>
    <x v="47"/>
    <s v="Hardtop WT8 RAL 7035"/>
    <s v="A"/>
    <s v="L"/>
    <n v="4.17"/>
    <n v="1"/>
    <n v="4.17"/>
    <m/>
    <n v="0"/>
    <n v="4.17"/>
    <s v="done"/>
    <n v="3069140"/>
    <s v="ACME 2.O"/>
    <n v="1"/>
    <d v="2023-02-23T00:00:00"/>
    <d v="2027-02-22T00:00:00"/>
    <d v="2025-07-30T00:00:00"/>
    <n v="572"/>
    <x v="1"/>
    <s v="Not Expire"/>
    <x v="0"/>
    <s v="DFIPL Purchase"/>
    <s v="NEED TO CONFIRM PROJECT NAME"/>
    <s v="System"/>
    <m/>
  </r>
  <r>
    <n v="113"/>
    <x v="48"/>
    <s v="Hardtop WT8 Comp B"/>
    <s v="B"/>
    <s v="L"/>
    <n v="0.83"/>
    <n v="1"/>
    <n v="0.83"/>
    <m/>
    <n v="0"/>
    <n v="0.83"/>
    <s v="done"/>
    <n v="3070505"/>
    <s v="Ayana "/>
    <n v="4"/>
    <d v="2023-02-24T00:00:00"/>
    <d v="2027-02-23T00:00:00"/>
    <d v="2025-07-30T00:00:00"/>
    <n v="573"/>
    <x v="1"/>
    <s v="Not Expire"/>
    <x v="0"/>
    <s v="DFIPL Purchase"/>
    <m/>
    <s v="NR"/>
    <m/>
  </r>
  <r>
    <n v="120"/>
    <x v="49"/>
    <s v="Penguard Express RAL 7035"/>
    <s v="A"/>
    <s v="L"/>
    <n v="16"/>
    <n v="55"/>
    <n v="880"/>
    <n v="53"/>
    <n v="848"/>
    <n v="32"/>
    <s v="done"/>
    <n v="3853084"/>
    <s v="ACME 2.O"/>
    <n v="1"/>
    <d v="2025-03-11T00:00:00"/>
    <d v="2027-03-11T00:00:00"/>
    <d v="2025-07-30T00:00:00"/>
    <n v="589"/>
    <x v="1"/>
    <s v="Not Expire"/>
    <x v="0"/>
    <s v="DFIPL Purchase"/>
    <m/>
    <s v="NR"/>
    <s v="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
  </r>
  <r>
    <n v="112"/>
    <x v="50"/>
    <s v="Hardtop WT8 Comp B"/>
    <s v="B"/>
    <s v="L"/>
    <n v="3.3"/>
    <n v="9"/>
    <n v="29.7"/>
    <m/>
    <n v="0"/>
    <n v="29.7"/>
    <s v="done"/>
    <n v="3092173"/>
    <s v="Ayana "/>
    <n v="4"/>
    <d v="2023-03-16T00:00:00"/>
    <d v="2027-03-15T00:00:00"/>
    <d v="2025-07-30T00:00:00"/>
    <n v="593"/>
    <x v="1"/>
    <s v="Not Expire"/>
    <x v="0"/>
    <s v="DFIPL Purchase"/>
    <m/>
    <s v="NR"/>
    <m/>
  </r>
  <r>
    <n v="118"/>
    <x v="51"/>
    <s v="Jotun Thinner No. 10"/>
    <m/>
    <s v="L"/>
    <n v="5"/>
    <n v="2"/>
    <n v="10"/>
    <m/>
    <n v="0"/>
    <n v="10"/>
    <s v="done"/>
    <n v="3103737"/>
    <s v="Ayana "/>
    <n v="4"/>
    <d v="2023-03-28T00:00:00"/>
    <d v="2027-03-27T00:00:00"/>
    <d v="2025-07-30T00:00:00"/>
    <n v="605"/>
    <x v="1"/>
    <s v="Not Expire"/>
    <x v="0"/>
    <s v="DFIPL Purchase"/>
    <m/>
    <s v="NR"/>
    <m/>
  </r>
  <r>
    <n v="188"/>
    <x v="34"/>
    <s v="Hardtop XP Comp B"/>
    <s v="B"/>
    <s v="L"/>
    <n v="1.8"/>
    <n v="3"/>
    <n v="5.4"/>
    <m/>
    <n v="0"/>
    <n v="5.4"/>
    <s v="done"/>
    <n v="3113974"/>
    <s v="SGRE"/>
    <n v="2"/>
    <d v="2023-04-07T00:00:00"/>
    <d v="2027-04-06T00:00:00"/>
    <d v="2025-07-30T00:00:00"/>
    <n v="615"/>
    <x v="1"/>
    <s v="Not Expire"/>
    <x v="0"/>
    <s v="DFIPL Purchase"/>
    <m/>
    <s v="NR"/>
    <m/>
  </r>
  <r>
    <n v="143"/>
    <x v="4"/>
    <s v="Penguard Express Grey"/>
    <s v="A"/>
    <s v="L"/>
    <n v="16"/>
    <n v="115"/>
    <n v="1840"/>
    <n v="104"/>
    <n v="1664"/>
    <n v="176"/>
    <s v="done"/>
    <n v="3880190"/>
    <s v="ACME 2.O"/>
    <n v="1"/>
    <d v="2025-04-08T00:00:00"/>
    <d v="2027-04-08T00:00:00"/>
    <d v="2025-07-30T00:00:00"/>
    <n v="617"/>
    <x v="1"/>
    <s v="Not Expire"/>
    <x v="0"/>
    <s v="DFIPL Purchase"/>
    <m/>
    <s v="NR"/>
    <s v="ACME TN 7 - S4, ACME TN 7 S3, ACME TN 7 S5, ACME TN 8 S4 DT. 14.07.2025, ACME TN 8 S3 DT. 18.07.2025, ACME TN 8 S3 DT. 19.07.2025, ACME TN 9 S3 DT. 22.07.2025, ACME TN 9 S4 DT. 23.07.2025, ACME TN 9 S2 DT. 26.07.2025, ACME TN 9 S5 DT. 27.07.2025, ACME TN 10 S4 DT. 30.07.2025, ACME TN 10 S2 DT. 04.08.2025, ACME TN 8 S1 DT. 05.08.2025, ACME TN 10 S5 DT. 06.08.2025"/>
  </r>
  <r>
    <n v="72"/>
    <x v="13"/>
    <s v="Jotun Barrier 80 X Comp B"/>
    <s v="B"/>
    <s v="L"/>
    <n v="1.8"/>
    <n v="39"/>
    <n v="70.2"/>
    <m/>
    <n v="0"/>
    <n v="70.2"/>
    <s v="done"/>
    <n v="3881423"/>
    <s v="INOX"/>
    <n v="4"/>
    <d v="2025-04-09T00:00:00"/>
    <d v="2027-04-09T00:00:00"/>
    <d v="2025-07-30T00:00:00"/>
    <n v="618"/>
    <x v="1"/>
    <s v="Not Expire"/>
    <x v="1"/>
    <e v="#N/A"/>
    <s v="3882754 need to check batch number again 73"/>
    <s v="correction done"/>
    <m/>
  </r>
  <r>
    <n v="136"/>
    <x v="41"/>
    <s v="Hempathane HS 55610"/>
    <s v="A"/>
    <s v="L"/>
    <n v="17.5"/>
    <n v="57"/>
    <n v="997.5"/>
    <n v="2"/>
    <n v="35"/>
    <n v="962.5"/>
    <s v="done"/>
    <n v="75035282"/>
    <s v="Adani"/>
    <n v="1"/>
    <d v="2025-04-14T00:00:00"/>
    <d v="2027-04-14T00:00:00"/>
    <d v="2025-07-30T00:00:00"/>
    <n v="623"/>
    <x v="1"/>
    <s v="Not Expire"/>
    <x v="1"/>
    <e v="#N/A"/>
    <m/>
    <s v="NR"/>
    <s v="ADANI TN 19 SG2, ADANI TN 19 SG4, ADANI TN 19 SG1, ADANI TN 19 SG5"/>
  </r>
  <r>
    <n v="122"/>
    <x v="6"/>
    <s v="Penguard Express Comp B"/>
    <s v="B"/>
    <s v="L"/>
    <n v="4"/>
    <n v="235"/>
    <n v="940"/>
    <n v="185"/>
    <n v="740"/>
    <n v="200"/>
    <s v="done"/>
    <n v="3888650"/>
    <s v="ACME 2.O"/>
    <n v="1"/>
    <d v="2025-04-16T00:00:00"/>
    <d v="2027-04-16T00:00:00"/>
    <d v="2025-07-30T00:00:00"/>
    <n v="625"/>
    <x v="1"/>
    <s v="Not Expire"/>
    <x v="0"/>
    <s v="DFIPL Purchase"/>
    <m/>
    <s v="NR"/>
    <s v="ACME TN 7 S4, ACME TN 7 S3, ACME TN 8 S2, ACME TN 8 S4 DT. 14.07.2025, ACME TN 8 S4 DT. 15.07.2025, ACME TN 8 S5 DT. 16.07.2025, ACME TN 8 S3 DT. 18.07.2025, ACME TN 8 S3 DT. 19.07.2025, ACME TN 9 S3 DT. 22.07.2025, 23.07.2025, ACME TN 9 S4 DT. 23.07.2025, ACME TN 9 S2 DT.26.07.2025, ACME TN 9 S5 DT. 27.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
  </r>
  <r>
    <n v="126"/>
    <x v="6"/>
    <s v="Penguard Express Comp B"/>
    <s v="B"/>
    <s v="L"/>
    <n v="4"/>
    <n v="0"/>
    <n v="0"/>
    <m/>
    <n v="0"/>
    <n v="0"/>
    <s v="done"/>
    <n v="3888781"/>
    <s v="ACME 2.O"/>
    <n v="1"/>
    <d v="2025-04-16T00:00:00"/>
    <d v="2027-04-16T00:00:00"/>
    <d v="2025-07-30T00:00:00"/>
    <n v="625"/>
    <x v="1"/>
    <s v="Not Expire"/>
    <x v="0"/>
    <s v="DFIPL Purchase"/>
    <m/>
    <s v="NR"/>
    <m/>
  </r>
  <r>
    <n v="142"/>
    <x v="4"/>
    <s v="Penguard Express Grey"/>
    <s v="A"/>
    <s v="L"/>
    <n v="16"/>
    <n v="69"/>
    <n v="1104"/>
    <n v="49"/>
    <n v="784"/>
    <n v="320"/>
    <s v="done"/>
    <n v="3888540"/>
    <s v="ACME 2.O"/>
    <n v="1"/>
    <d v="2025-04-16T00:00:00"/>
    <d v="2027-04-16T00:00:00"/>
    <d v="2025-07-30T00:00:00"/>
    <n v="625"/>
    <x v="1"/>
    <s v="Not Expire"/>
    <x v="0"/>
    <s v="DFIPL Purchase"/>
    <m/>
    <s v="NR"/>
    <s v="ACME TN 9 S1 DT. 07.08.2025, ACME TN 11 S2 DT. 09.08.2025, ACME TN 11 S5 DT. 14.08.2025, ACME TN 11 S4 DT. 16.08.2025, ACME TN 10 S1 DT. 22.08.2025"/>
  </r>
  <r>
    <n v="20"/>
    <x v="20"/>
    <s v="Penguard Express RAL 9018"/>
    <s v="A"/>
    <s v="L"/>
    <n v="16"/>
    <n v="2"/>
    <n v="32"/>
    <n v="2"/>
    <n v="32"/>
    <n v="0"/>
    <s v="done"/>
    <n v="3923183"/>
    <s v="Welspun"/>
    <n v="3"/>
    <d v="2025-05-17T00:00:00"/>
    <d v="2027-05-17T00:00:00"/>
    <d v="2025-07-30T00:00:00"/>
    <n v="656"/>
    <x v="1"/>
    <s v="Not Expire"/>
    <x v="0"/>
    <s v="DFIPL Purchase"/>
    <m/>
    <s v="NR"/>
    <s v="WELSPUN TN 6 S3, WELSPUN TN 6 S5, WELSPUN TN 6 S4, WELSPUN TN 7 S4 DT. 28.07.2025  "/>
  </r>
  <r>
    <n v="11"/>
    <x v="6"/>
    <s v="Penguard Express B Gray"/>
    <s v="B "/>
    <s v="L"/>
    <n v="4"/>
    <n v="236"/>
    <n v="944"/>
    <n v="218"/>
    <n v="872"/>
    <n v="72"/>
    <s v="done"/>
    <n v="3923488"/>
    <s v="Welspun"/>
    <n v="3"/>
    <d v="2025-05-19T00:00:00"/>
    <d v="2027-05-19T00:00:00"/>
    <d v="2025-07-30T00:00:00"/>
    <n v="658"/>
    <x v="1"/>
    <s v="Not Expire"/>
    <x v="0"/>
    <s v="DFIPL Purchase"/>
    <m/>
    <s v="NR"/>
    <s v="WELSPUN TN 6 S3, WELSPUN TN 7 S3 DT. 27.07.2025, WELSPUN TN 7 S5 DT. 01.08.2025, WELSPUN TN 8 S3 DT. 08.08.2025, WELSPUN TN 8 S2 DT. 13.08.2025, WELSPUN  TN 8 S4 DT. 13.08.2025, WELSPUN TN 8 S5 DT. 17.08.2025, WELSPUN TN 7 S1 DT. 18.08.2025, WELSPUN TN 9 S2 DT. 19.08.2025, WELSPUN TN 9 S2 DT. 19.08.2025, WELSPUN TN 9 S3 DT. 20.08.2025, WELSPUN TN 9 S4 DT. 21.08.2025, WELSPUN TN 9 S5 DT. 25.08.2025, WELSPUN TN 10 S5 DT. 27.08.2025, WELSPUN TN 10 S5 DT. 27.08.2025, WELSPUN TN 8 S1 DT. 28.08.2025 "/>
  </r>
  <r>
    <n v="12"/>
    <x v="52"/>
    <s v="Penguard Express Comp B"/>
    <s v="B "/>
    <s v="L"/>
    <n v="4"/>
    <n v="2"/>
    <n v="8"/>
    <m/>
    <n v="0"/>
    <n v="8"/>
    <s v="done"/>
    <n v="3923489"/>
    <s v="Welspun"/>
    <n v="3"/>
    <d v="2025-05-19T00:00:00"/>
    <d v="2027-05-19T00:00:00"/>
    <d v="2025-07-30T00:00:00"/>
    <n v="658"/>
    <x v="1"/>
    <s v="Not Expire"/>
    <x v="0"/>
    <s v="DFIPL Purchase"/>
    <m/>
    <s v="NR"/>
    <s v="WELSPUN TN 6 S5 "/>
  </r>
  <r>
    <n v="21"/>
    <x v="20"/>
    <s v="Penguard Express RAL 9018"/>
    <s v="A"/>
    <s v="L"/>
    <n v="16"/>
    <n v="67"/>
    <n v="1072"/>
    <n v="49"/>
    <n v="784"/>
    <n v="288"/>
    <s v="done"/>
    <n v="3924941"/>
    <s v="Welspun"/>
    <n v="3"/>
    <d v="2025-05-19T00:00:00"/>
    <d v="2027-05-19T00:00:00"/>
    <d v="2025-07-30T00:00:00"/>
    <n v="658"/>
    <x v="1"/>
    <s v="Not Expire"/>
    <x v="0"/>
    <s v="DFIPL Purchase"/>
    <m/>
    <s v="NR"/>
    <s v="WELSPUN TN 6 S1 DT. 15.07.2025, WELSPUN TN 7 S3 DT. 25.07.2025, WELSPUN TN 7 S2 DT. 24.07.2025, WELSPUN TN 7 S3 DT. 27.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 WELSPUN TN 9 S5 DT. 25.08.2025, WELSPUN TN 10 S5 DT. 27.08.2025, WELSPUN TN 8 S1 DT. 28.08.2025"/>
  </r>
  <r>
    <n v="39"/>
    <x v="52"/>
    <s v="Penguard Express 9018 B"/>
    <s v="B"/>
    <s v="L"/>
    <n v="4"/>
    <n v="14"/>
    <n v="56"/>
    <n v="11"/>
    <n v="44"/>
    <n v="12"/>
    <s v="done"/>
    <n v="3923488"/>
    <s v="Welspun"/>
    <n v="3"/>
    <d v="2025-05-19T00:00:00"/>
    <d v="2027-05-19T00:00:00"/>
    <d v="2025-07-30T00:00:00"/>
    <n v="658"/>
    <x v="1"/>
    <s v="Not Expire"/>
    <x v="0"/>
    <s v="DFIPL Purchase"/>
    <m/>
    <s v="NR"/>
    <s v="WELSPUN TN 6 S4 AND S5, WELSPUN TN 6 S1 DT. 15.07.2025, WELSPUN TN 6 S1 DT. 15.07.2025, WELSPUN TN 7 S3 DT. 25.07.2025, WELSPUN TN 7 S2 DT. 24.07.2025, WELSPUN TN 7 S4 DT. 28.07.2025, WELSPUN TN 7 S5 DT. 01.08.2025"/>
  </r>
  <r>
    <n v="94"/>
    <x v="52"/>
    <s v="Penguard Express 9018 B"/>
    <s v="B"/>
    <s v="L"/>
    <n v="4"/>
    <n v="42"/>
    <n v="168"/>
    <n v="13"/>
    <n v="52"/>
    <n v="116"/>
    <s v="done"/>
    <n v="3923488"/>
    <s v="Welspun"/>
    <n v="3"/>
    <d v="2025-05-19T00:00:00"/>
    <d v="2027-05-19T00:00:00"/>
    <d v="2025-07-30T00:00:00"/>
    <n v="658"/>
    <x v="1"/>
    <s v="Not Expire"/>
    <x v="0"/>
    <s v="DFIPL Purchase"/>
    <m/>
    <s v="NR"/>
    <m/>
  </r>
  <r>
    <n v="145"/>
    <x v="0"/>
    <s v="Barrier 80s Grey"/>
    <s v="A"/>
    <s v="L"/>
    <n v="7.5"/>
    <n v="15"/>
    <n v="112.5"/>
    <n v="3"/>
    <n v="22.5"/>
    <n v="90"/>
    <s v="done"/>
    <n v="3936078"/>
    <s v="ACME 2.O"/>
    <n v="1"/>
    <d v="2025-05-30T00:00:00"/>
    <d v="2027-05-20T00:00:00"/>
    <d v="2025-07-30T00:00:00"/>
    <n v="659"/>
    <x v="1"/>
    <s v="Not Expire"/>
    <x v="0"/>
    <s v="DFIPL Purchase"/>
    <m/>
    <s v="NR"/>
    <s v="ACME TN 7 S4, ACME TN 7 S3, ACME TN 11 S2 DT. 11.08.2025, ACME TN 11 S5 DT. 14.08.2025, ACME TN 12 S4 DT. 25.08.2025"/>
  </r>
  <r>
    <n v="45"/>
    <x v="4"/>
    <s v="Penguard Express Grey"/>
    <s v="A"/>
    <s v="L"/>
    <n v="16"/>
    <n v="163"/>
    <n v="2608"/>
    <n v="156"/>
    <n v="2496"/>
    <n v="112"/>
    <s v="done"/>
    <n v="3926473"/>
    <s v="Welspun"/>
    <n v="3"/>
    <d v="2025-05-21T00:00:00"/>
    <d v="2027-05-21T00:00:00"/>
    <d v="2025-07-30T00:00:00"/>
    <n v="660"/>
    <x v="1"/>
    <s v="Not Expire"/>
    <x v="0"/>
    <s v="DFIPL Purchase"/>
    <m/>
    <s v="NR"/>
    <s v="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 WELSPUN TN 9 S5 DT. 25.08.2025"/>
  </r>
  <r>
    <n v="96"/>
    <x v="4"/>
    <s v="Penguard Express Grey"/>
    <s v="A"/>
    <s v="L"/>
    <n v="16"/>
    <n v="60"/>
    <n v="960"/>
    <n v="37"/>
    <n v="592"/>
    <n v="368"/>
    <s v="done"/>
    <n v="3926473"/>
    <s v="Welspun"/>
    <n v="3"/>
    <d v="2025-05-21T00:00:00"/>
    <d v="2027-05-21T00:00:00"/>
    <d v="2025-07-30T00:00:00"/>
    <n v="660"/>
    <x v="1"/>
    <s v="Not Expire"/>
    <x v="0"/>
    <s v="DFIPL Purchase"/>
    <m/>
    <s v="NR"/>
    <s v="WELPSUN TN 10 S5 DT. 27.08.2025, WELSPUN TN 8 S1 DT. 28.08.2025"/>
  </r>
  <r>
    <n v="183"/>
    <x v="34"/>
    <s v="Hardtop XP Comp B"/>
    <s v="B"/>
    <s v="L"/>
    <n v="1.8"/>
    <n v="2"/>
    <n v="3.6"/>
    <m/>
    <n v="0"/>
    <n v="3.6"/>
    <s v="done"/>
    <n v="3157411"/>
    <s v="SGRE"/>
    <n v="2"/>
    <d v="2023-05-24T00:00:00"/>
    <d v="2027-05-23T00:00:00"/>
    <d v="2025-07-30T00:00:00"/>
    <n v="662"/>
    <x v="1"/>
    <s v="Not Expire"/>
    <x v="0"/>
    <s v="DFIPL Purchase"/>
    <m/>
    <s v="NR"/>
    <m/>
  </r>
  <r>
    <n v="157"/>
    <x v="11"/>
    <s v="Pengurad Express CF Comp B"/>
    <s v="B"/>
    <s v="L"/>
    <n v="4"/>
    <n v="23"/>
    <n v="92"/>
    <n v="7"/>
    <n v="28"/>
    <n v="64"/>
    <s v="done"/>
    <n v="3945314"/>
    <s v="SGRE"/>
    <n v="2"/>
    <d v="2025-06-09T00:00:00"/>
    <d v="2027-06-09T00:00:00"/>
    <d v="2025-07-30T00:00:00"/>
    <n v="679"/>
    <x v="1"/>
    <s v="Not Expire"/>
    <x v="0"/>
    <s v="DFIPL Purchase"/>
    <m/>
    <s v="NR"/>
    <s v="SGRE 620173 S3 DT. 02.08.2025, SGRE 620205 S5 DT. 12.08.2025"/>
  </r>
  <r>
    <n v="93"/>
    <x v="53"/>
    <s v="Penguard Express Comp B"/>
    <s v="B"/>
    <s v="L"/>
    <n v="4"/>
    <n v="57"/>
    <n v="228"/>
    <n v="40"/>
    <n v="160"/>
    <n v="68"/>
    <s v="done"/>
    <n v="3945313"/>
    <s v="ACME 2.O"/>
    <n v="1"/>
    <d v="2025-06-09T00:00:00"/>
    <d v="2027-06-09T00:00:00"/>
    <d v="2025-07-30T00:00:00"/>
    <n v="679"/>
    <x v="1"/>
    <s v="Not Expire"/>
    <x v="0"/>
    <s v="DFIPL Purchase"/>
    <m/>
    <s v="NR"/>
    <s v="ACME TN 10 S2 DT. 04.08.2025, ACME TN 10 S5 DT. 06.08.2025, ACME TN 9 S1 DT. 07.08.2025, ACME TN 11 S2 DT. 09.08.2025, ACME TN 11 S5 DT. 14.08.2025, ACME TN 11 S4 DT. 16.08.2025, ACME TN 10 S1 DT. 22.08.2025, ACME TN 12 S4 DT. 24.08.2025, ACME TN 12 S3 DT. 26.08.2025, ACME TN 11 S1 DT. 26.08.2025 "/>
  </r>
  <r>
    <n v="97"/>
    <x v="4"/>
    <s v="Penguard Express Grey"/>
    <s v="A"/>
    <s v="L"/>
    <n v="16"/>
    <n v="110"/>
    <n v="1760"/>
    <n v="31"/>
    <n v="496"/>
    <n v="1264"/>
    <s v="done"/>
    <n v="3945298"/>
    <s v="ACME 2.O"/>
    <n v="1"/>
    <d v="2025-06-09T00:00:00"/>
    <d v="2027-06-09T00:00:00"/>
    <d v="2025-07-30T00:00:00"/>
    <n v="679"/>
    <x v="1"/>
    <s v="Not Expire"/>
    <x v="0"/>
    <s v="DFIPL Purchase"/>
    <m/>
    <s v="NR"/>
    <s v="ACME TN 12 S4 DT. 24.08.2025, ACME TN 12 S3 DT. 26.08.2025, ACME TN 11 S1 DT. 26.08.2025"/>
  </r>
  <r>
    <n v="121"/>
    <x v="49"/>
    <s v="Penguard Express RAL 7035"/>
    <s v="A"/>
    <s v="L"/>
    <n v="16"/>
    <n v="27"/>
    <n v="432"/>
    <n v="6"/>
    <n v="96"/>
    <n v="336"/>
    <s v="done"/>
    <n v="3945299"/>
    <s v="ACME 2.O"/>
    <n v="1"/>
    <d v="2025-06-09T00:00:00"/>
    <d v="2027-06-09T00:00:00"/>
    <d v="2025-07-30T00:00:00"/>
    <n v="679"/>
    <x v="1"/>
    <s v="Not Expire"/>
    <x v="0"/>
    <s v="DFIPL Purchase"/>
    <m/>
    <s v="NR"/>
    <s v="ACME TN 12 S3 DT. 26.08.2025, ACME TN 11 S1 DT. 26.08.2025"/>
  </r>
  <r>
    <n v="125"/>
    <x v="53"/>
    <s v="Penguard Express Comp B"/>
    <s v="B"/>
    <s v="L"/>
    <n v="4"/>
    <n v="83"/>
    <n v="332"/>
    <n v="25"/>
    <n v="100"/>
    <n v="232"/>
    <s v="done"/>
    <n v="3945313"/>
    <s v="ACME 2.O"/>
    <n v="1"/>
    <d v="2025-06-09T00:00:00"/>
    <d v="2027-06-09T00:00:00"/>
    <d v="2025-07-30T00:00:00"/>
    <n v="679"/>
    <x v="1"/>
    <s v="Not Expire"/>
    <x v="0"/>
    <s v="DFIPL Purchase"/>
    <m/>
    <s v="NR"/>
    <m/>
  </r>
  <r>
    <n v="100"/>
    <x v="15"/>
    <s v="Jotun Thinner No. 17"/>
    <m/>
    <s v="L"/>
    <n v="20"/>
    <n v="2"/>
    <n v="40"/>
    <m/>
    <n v="0"/>
    <n v="40"/>
    <s v="done"/>
    <n v="3218585"/>
    <s v="Ayana "/>
    <n v="4"/>
    <d v="2023-07-25T00:00:00"/>
    <d v="2027-07-24T00:00:00"/>
    <d v="2025-07-30T00:00:00"/>
    <n v="724"/>
    <x v="1"/>
    <s v="Not Expire"/>
    <x v="0"/>
    <s v="DFIPL Purchase"/>
    <m/>
    <s v="NR"/>
    <m/>
  </r>
  <r>
    <n v="171"/>
    <x v="29"/>
    <s v="Hardtop WT8 Comp B"/>
    <s v="B"/>
    <s v="L"/>
    <n v="3.3"/>
    <n v="4"/>
    <n v="13.2"/>
    <m/>
    <n v="0"/>
    <n v="13.2"/>
    <s v="done"/>
    <n v="3221566"/>
    <s v="Renew"/>
    <n v="2"/>
    <d v="2023-07-27T00:00:00"/>
    <d v="2027-07-26T00:00:00"/>
    <d v="2025-07-30T00:00:00"/>
    <n v="726"/>
    <x v="1"/>
    <s v="Not Expire"/>
    <x v="0"/>
    <s v="DFIPL Purchase"/>
    <s v="3221566 same as line no 180"/>
    <s v="OK checked again"/>
    <m/>
  </r>
  <r>
    <n v="213"/>
    <x v="54"/>
    <s v="Hardtop WT8 RAL 7035"/>
    <s v="A"/>
    <s v="L"/>
    <n v="4.17"/>
    <n v="4"/>
    <n v="16.68"/>
    <m/>
    <n v="0"/>
    <n v="16.68"/>
    <s v="done"/>
    <n v="3221542"/>
    <s v="Renew"/>
    <n v="2"/>
    <d v="2023-07-28T00:00:00"/>
    <d v="2027-07-27T00:00:00"/>
    <d v="2025-07-30T00:00:00"/>
    <n v="727"/>
    <x v="1"/>
    <s v="Not Expire"/>
    <x v="1"/>
    <e v="#N/A"/>
    <m/>
    <s v="NR"/>
    <m/>
  </r>
  <r>
    <n v="159"/>
    <x v="15"/>
    <s v="Jotun Thinner No. 17"/>
    <m/>
    <s v="L"/>
    <n v="20"/>
    <n v="16"/>
    <n v="320"/>
    <n v="2"/>
    <n v="40"/>
    <n v="280"/>
    <s v="done"/>
    <n v="3243690"/>
    <s v="Renew"/>
    <n v="2"/>
    <d v="2023-08-18T00:00:00"/>
    <d v="2027-08-17T00:00:00"/>
    <d v="2025-07-30T00:00:00"/>
    <n v="748"/>
    <x v="1"/>
    <s v="Not Expire"/>
    <x v="1"/>
    <m/>
    <m/>
    <s v="NR"/>
    <s v="SGRE 620205 S5 DT. 12.08.2025"/>
  </r>
  <r>
    <n v="35"/>
    <x v="51"/>
    <s v="Jotun Thinner no. 10"/>
    <m/>
    <s v="L"/>
    <n v="5"/>
    <n v="1"/>
    <n v="5"/>
    <m/>
    <n v="0"/>
    <n v="5"/>
    <s v="done"/>
    <n v="3260696"/>
    <s v="Ayana "/>
    <n v="4"/>
    <d v="2023-09-06T00:00:00"/>
    <d v="2027-09-05T00:00:00"/>
    <d v="2025-07-30T00:00:00"/>
    <n v="767"/>
    <x v="1"/>
    <s v="Not Expire"/>
    <x v="0"/>
    <s v="DFIPL Purchase"/>
    <s v="need to check expiry date"/>
    <s v="correction done"/>
    <m/>
  </r>
  <r>
    <n v="34"/>
    <x v="15"/>
    <s v="Jotun Thinner no. 17"/>
    <m/>
    <s v="L"/>
    <n v="5"/>
    <n v="1"/>
    <n v="5"/>
    <m/>
    <n v="0"/>
    <n v="5"/>
    <s v="done"/>
    <n v="3296904"/>
    <s v="Ayana "/>
    <n v="4"/>
    <d v="2023-10-11T00:00:00"/>
    <d v="2027-10-10T00:00:00"/>
    <d v="2025-07-30T00:00:00"/>
    <n v="802"/>
    <x v="1"/>
    <s v="Not Expire"/>
    <x v="0"/>
    <s v="DFIPL Purchase"/>
    <m/>
    <s v="NR"/>
    <m/>
  </r>
  <r>
    <n v="41"/>
    <x v="55"/>
    <s v="Hardtop XP, Comp B"/>
    <s v="B"/>
    <s v="L"/>
    <n v="1.8"/>
    <n v="3"/>
    <n v="5.4"/>
    <m/>
    <n v="0"/>
    <n v="5.4"/>
    <s v="done"/>
    <n v="3298358"/>
    <s v="INOX"/>
    <n v="4"/>
    <d v="2022-10-12T00:00:00"/>
    <d v="2027-10-11T00:00:00"/>
    <d v="2025-07-30T00:00:00"/>
    <n v="803"/>
    <x v="1"/>
    <s v="Not Expire"/>
    <x v="1"/>
    <e v="#N/A"/>
    <m/>
    <s v="NR"/>
    <m/>
  </r>
  <r>
    <n v="160"/>
    <x v="15"/>
    <s v="Thinner 17"/>
    <m/>
    <s v="L"/>
    <n v="20"/>
    <n v="1"/>
    <n v="20"/>
    <n v="1"/>
    <n v="20"/>
    <n v="0"/>
    <s v="done"/>
    <n v="3243690"/>
    <s v="Renew"/>
    <n v="2"/>
    <d v="2024-12-03T00:00:00"/>
    <d v="2028-02-02T00:00:00"/>
    <d v="2025-07-30T00:00:00"/>
    <n v="917"/>
    <x v="1"/>
    <s v="Not Expire"/>
    <x v="0"/>
    <s v="DFIPL Purchase"/>
    <m/>
    <s v="NR"/>
    <s v="SGRE 620173 S3 DT. 02.08.2025"/>
  </r>
  <r>
    <n v="29"/>
    <x v="56"/>
    <s v="Hardtop XP Base 3A"/>
    <s v="A"/>
    <s v="L"/>
    <n v="16.399999999999999"/>
    <n v="1"/>
    <n v="16.399999999999999"/>
    <m/>
    <n v="0"/>
    <n v="16.399999999999999"/>
    <s v="done"/>
    <n v="3435264"/>
    <s v="Ayana "/>
    <n v="4"/>
    <d v="2024-02-27T00:00:00"/>
    <d v="2028-02-26T00:00:00"/>
    <d v="2025-07-30T00:00:00"/>
    <n v="941"/>
    <x v="1"/>
    <s v="Not Expire"/>
    <x v="0"/>
    <s v="DFIPL Purchase"/>
    <m/>
    <s v="NR"/>
    <m/>
  </r>
  <r>
    <n v="36"/>
    <x v="57"/>
    <s v="Hardtop XP, Comp B"/>
    <s v="B"/>
    <s v="L"/>
    <n v="0.45"/>
    <n v="1"/>
    <n v="0.45"/>
    <m/>
    <n v="0"/>
    <n v="0.45"/>
    <s v="done"/>
    <n v="3461087"/>
    <s v="Ayana "/>
    <n v="4"/>
    <d v="2024-03-21T00:00:00"/>
    <d v="2028-03-20T00:00:00"/>
    <d v="2025-07-30T00:00:00"/>
    <n v="964"/>
    <x v="1"/>
    <s v="Not Expire"/>
    <x v="0"/>
    <s v="DFIPL Purchase"/>
    <m/>
    <s v="NR"/>
    <m/>
  </r>
  <r>
    <n v="193"/>
    <x v="18"/>
    <s v="Hardtop WT8 RAL 9018"/>
    <s v="A"/>
    <s v="L"/>
    <n v="16.7"/>
    <n v="5"/>
    <n v="83.5"/>
    <m/>
    <n v="0"/>
    <n v="83.5"/>
    <s v="done"/>
    <n v="3463648"/>
    <s v="SGRE"/>
    <n v="2"/>
    <d v="2024-03-22T00:00:00"/>
    <d v="2028-03-21T00:00:00"/>
    <d v="2025-07-30T00:00:00"/>
    <n v="965"/>
    <x v="1"/>
    <s v="Not Expire"/>
    <x v="0"/>
    <s v="DFIPL Purchase"/>
    <m/>
    <s v="NR"/>
    <m/>
  </r>
  <r>
    <n v="42"/>
    <x v="55"/>
    <s v="Hardtop XP Com B 7035"/>
    <s v="B"/>
    <s v="L"/>
    <n v="1.8"/>
    <n v="12"/>
    <n v="21.6"/>
    <m/>
    <n v="0"/>
    <n v="21.6"/>
    <s v="done"/>
    <n v="3559198"/>
    <s v="INOX"/>
    <n v="4"/>
    <d v="2024-06-26T00:00:00"/>
    <d v="2028-06-25T00:00:00"/>
    <d v="2025-07-30T00:00:00"/>
    <n v="1061"/>
    <x v="1"/>
    <s v="Not Expire"/>
    <x v="1"/>
    <e v="#N/A"/>
    <m/>
    <s v="NR"/>
    <m/>
  </r>
  <r>
    <n v="68"/>
    <x v="58"/>
    <s v="Hempel's Thinner 8450"/>
    <s v="B"/>
    <s v="L"/>
    <n v="20"/>
    <n v="3"/>
    <n v="60"/>
    <m/>
    <n v="0"/>
    <n v="60"/>
    <s v="done"/>
    <n v="73065170"/>
    <s v="Adani"/>
    <n v="1"/>
    <d v="2023-07-04T00:00:00"/>
    <d v="2028-07-04T00:00:00"/>
    <d v="2025-07-30T00:00:00"/>
    <n v="1070"/>
    <x v="1"/>
    <s v="Not Expire"/>
    <x v="1"/>
    <e v="#N/A"/>
    <m/>
    <s v="NR"/>
    <s v="ADANI TN 19 SG2"/>
  </r>
  <r>
    <n v="28"/>
    <x v="59"/>
    <s v="Hardtop XP Base 6A"/>
    <s v="A"/>
    <s v="L"/>
    <n v="16.399999999999999"/>
    <n v="2"/>
    <n v="32.799999999999997"/>
    <m/>
    <n v="0"/>
    <n v="32.799999999999997"/>
    <s v="done"/>
    <n v="3585994"/>
    <s v="Ayana "/>
    <n v="4"/>
    <d v="2024-07-19T00:00:00"/>
    <d v="2028-07-18T00:00:00"/>
    <d v="2025-07-30T00:00:00"/>
    <n v="1084"/>
    <x v="1"/>
    <s v="Not Expire"/>
    <x v="0"/>
    <s v="DFIPL Purchase"/>
    <m/>
    <s v="NR"/>
    <m/>
  </r>
  <r>
    <n v="27"/>
    <x v="60"/>
    <s v="Hardtop XP Base 6A"/>
    <s v="A"/>
    <s v="L"/>
    <n v="16.399999999999999"/>
    <n v="3"/>
    <n v="49.199999999999996"/>
    <m/>
    <n v="0"/>
    <n v="49.199999999999996"/>
    <s v="done"/>
    <n v="3586051"/>
    <s v="Ayana "/>
    <n v="4"/>
    <d v="2024-07-20T00:00:00"/>
    <d v="2028-07-19T00:00:00"/>
    <d v="2025-07-30T00:00:00"/>
    <n v="1085"/>
    <x v="1"/>
    <s v="Not Expire"/>
    <x v="0"/>
    <s v="DFIPL Purchase"/>
    <m/>
    <s v="NR"/>
    <m/>
  </r>
  <r>
    <n v="37"/>
    <x v="61"/>
    <s v="Hardtop WT8, Comp B"/>
    <s v="B"/>
    <s v="L"/>
    <n v="3.3"/>
    <n v="1"/>
    <n v="3.3"/>
    <m/>
    <n v="0"/>
    <n v="3.3"/>
    <s v="done"/>
    <n v="3628964"/>
    <s v="Ayana "/>
    <n v="4"/>
    <d v="2024-09-02T00:00:00"/>
    <d v="2028-09-01T00:00:00"/>
    <d v="2025-07-30T00:00:00"/>
    <n v="1129"/>
    <x v="1"/>
    <s v="Not Expire"/>
    <x v="0"/>
    <s v="DFIPL Purchase"/>
    <m/>
    <s v="NR"/>
    <m/>
  </r>
  <r>
    <n v="219"/>
    <x v="62"/>
    <s v="Hardtop WT8 RAL 7035"/>
    <s v="A"/>
    <s v="L"/>
    <n v="16.7"/>
    <n v="2"/>
    <n v="33.4"/>
    <m/>
    <n v="0"/>
    <n v="33.4"/>
    <s v="done"/>
    <n v="3628944"/>
    <s v="SGRE"/>
    <n v="2"/>
    <d v="2024-09-02T00:00:00"/>
    <d v="2028-09-01T00:00:00"/>
    <d v="2025-07-30T00:00:00"/>
    <n v="1129"/>
    <x v="1"/>
    <s v="Not Expire"/>
    <x v="0"/>
    <s v="DFIPL Purchase"/>
    <m/>
    <s v="NR"/>
    <m/>
  </r>
  <r>
    <n v="119"/>
    <x v="51"/>
    <s v="Jotun Thinner No. 10"/>
    <m/>
    <s v="L"/>
    <n v="5"/>
    <n v="1"/>
    <n v="5"/>
    <m/>
    <n v="0"/>
    <n v="5"/>
    <s v="done"/>
    <n v="3640958"/>
    <s v="Ayana "/>
    <n v="4"/>
    <d v="2024-09-12T00:00:00"/>
    <d v="2028-09-11T00:00:00"/>
    <d v="2025-07-30T00:00:00"/>
    <n v="1139"/>
    <x v="1"/>
    <s v="Not Expire"/>
    <x v="0"/>
    <s v="DFIPL Purchase"/>
    <m/>
    <s v="NR"/>
    <m/>
  </r>
  <r>
    <n v="192"/>
    <x v="63"/>
    <s v="Penguard Uni RAL 7035A"/>
    <s v="A"/>
    <s v="L"/>
    <n v="15"/>
    <n v="27"/>
    <n v="405"/>
    <m/>
    <n v="0"/>
    <n v="405"/>
    <s v="done"/>
    <n v="3641065"/>
    <s v="INOX"/>
    <n v="4"/>
    <d v="2024-09-12T00:00:00"/>
    <d v="2028-09-11T00:00:00"/>
    <d v="2025-07-30T00:00:00"/>
    <n v="1139"/>
    <x v="1"/>
    <s v="Not Expire"/>
    <x v="1"/>
    <e v="#N/A"/>
    <s v="3640966 need to check batch again 202"/>
    <s v="OK checked again"/>
    <m/>
  </r>
  <r>
    <n v="201"/>
    <x v="64"/>
    <s v="Penguard Universal Comp B"/>
    <s v="B"/>
    <s v="L"/>
    <n v="5"/>
    <n v="3"/>
    <n v="15"/>
    <m/>
    <n v="0"/>
    <n v="15"/>
    <s v="done"/>
    <n v="3640966"/>
    <s v="INOX"/>
    <n v="4"/>
    <d v="2024-09-12T00:00:00"/>
    <d v="2028-09-11T00:00:00"/>
    <d v="2025-07-30T00:00:00"/>
    <n v="1139"/>
    <x v="1"/>
    <s v="Not Expire"/>
    <x v="1"/>
    <e v="#N/A"/>
    <s v="3640966 need to check batch again 193"/>
    <s v="OK checked again"/>
    <m/>
  </r>
  <r>
    <n v="67"/>
    <x v="58"/>
    <s v="Hempel's Thinner 8450"/>
    <m/>
    <s v="L"/>
    <n v="20"/>
    <n v="5"/>
    <n v="100"/>
    <m/>
    <n v="0"/>
    <n v="100"/>
    <s v="done"/>
    <n v="73095342"/>
    <s v="Adani"/>
    <n v="1"/>
    <d v="2023-09-27T00:00:00"/>
    <d v="2028-09-27T00:00:00"/>
    <d v="2025-07-30T00:00:00"/>
    <n v="1155"/>
    <x v="1"/>
    <s v="Not Expire"/>
    <x v="1"/>
    <e v="#N/A"/>
    <m/>
    <s v="NR"/>
    <s v="ADANI TN 19 SG3"/>
  </r>
  <r>
    <n v="103"/>
    <x v="15"/>
    <s v="Jotun Thinner No. 17"/>
    <m/>
    <s v="L"/>
    <n v="5"/>
    <n v="2"/>
    <n v="10"/>
    <s v=" "/>
    <n v="0"/>
    <n v="10"/>
    <s v="done"/>
    <n v="3687934"/>
    <s v="Ayana "/>
    <n v="4"/>
    <d v="2024-10-15T00:00:00"/>
    <d v="2028-10-14T00:00:00"/>
    <d v="2025-07-30T00:00:00"/>
    <n v="1172"/>
    <x v="1"/>
    <s v="Not Expire"/>
    <x v="0"/>
    <s v="DFIPL Purchase"/>
    <s v="NEED TO TIN/LTR LIKELY TO BE 20 BUT MENTIONED 5"/>
    <s v="OK checked again"/>
    <m/>
  </r>
  <r>
    <n v="4"/>
    <x v="64"/>
    <s v="Penguard Universal Comp B"/>
    <s v="B"/>
    <s v="L"/>
    <n v="5"/>
    <n v="12"/>
    <n v="60"/>
    <m/>
    <n v="0"/>
    <n v="60"/>
    <s v="done"/>
    <n v="3699099"/>
    <s v="INOX"/>
    <n v="4"/>
    <d v="2024-10-24T00:00:00"/>
    <d v="2028-10-23T00:00:00"/>
    <d v="2025-07-30T00:00:00"/>
    <n v="1181"/>
    <x v="1"/>
    <s v="Not Expire"/>
    <x v="1"/>
    <e v="#N/A"/>
    <m/>
    <s v="NR"/>
    <m/>
  </r>
  <r>
    <n v="203"/>
    <x v="64"/>
    <s v="Penguard Universal Comp B"/>
    <s v="B"/>
    <s v="L"/>
    <n v="5"/>
    <n v="17"/>
    <n v="85"/>
    <m/>
    <n v="0"/>
    <n v="85"/>
    <s v="done"/>
    <n v="3699099"/>
    <s v="INOX"/>
    <n v="4"/>
    <d v="2024-10-24T00:00:00"/>
    <d v="2028-10-23T00:00:00"/>
    <d v="2025-07-30T00:00:00"/>
    <n v="1181"/>
    <x v="1"/>
    <s v="Not Expire"/>
    <x v="1"/>
    <e v="#N/A"/>
    <s v="need to check the batch number"/>
    <s v="OK checked again"/>
    <m/>
  </r>
  <r>
    <n v="69"/>
    <x v="58"/>
    <s v="Hempel's Thinner 8450"/>
    <m/>
    <s v="L"/>
    <n v="20"/>
    <n v="1"/>
    <n v="20"/>
    <m/>
    <n v="0"/>
    <n v="20"/>
    <s v="done"/>
    <n v="73105458"/>
    <s v="Adani"/>
    <n v="1"/>
    <d v="2023-10-30T00:00:00"/>
    <d v="2028-10-30T00:00:00"/>
    <d v="2025-07-30T00:00:00"/>
    <n v="1188"/>
    <x v="1"/>
    <s v="Not Expire"/>
    <x v="1"/>
    <e v="#N/A"/>
    <s v="need to check batch number again"/>
    <s v="correction done"/>
    <m/>
  </r>
  <r>
    <n v="5"/>
    <x v="64"/>
    <s v="Penguard Universal Comp B"/>
    <s v="B"/>
    <s v="L"/>
    <n v="5"/>
    <n v="2"/>
    <n v="10"/>
    <m/>
    <n v="0"/>
    <n v="10"/>
    <s v="done"/>
    <n v="3716075"/>
    <s v="INOX"/>
    <n v="4"/>
    <d v="2024-11-11T00:00:00"/>
    <d v="2028-11-10T00:00:00"/>
    <d v="2025-07-30T00:00:00"/>
    <n v="1199"/>
    <x v="1"/>
    <s v="Not Expire"/>
    <x v="1"/>
    <e v="#N/A"/>
    <m/>
    <s v="NR"/>
    <m/>
  </r>
  <r>
    <n v="164"/>
    <x v="65"/>
    <s v="Jotun Thinner No. 10"/>
    <m/>
    <s v="L"/>
    <n v="20"/>
    <n v="1"/>
    <n v="20"/>
    <m/>
    <n v="0"/>
    <n v="20"/>
    <s v="done"/>
    <n v="3720679"/>
    <s v="INOX"/>
    <n v="4"/>
    <d v="2024-11-14T00:00:00"/>
    <d v="2028-11-13T00:00:00"/>
    <d v="2025-07-30T00:00:00"/>
    <n v="1202"/>
    <x v="1"/>
    <s v="Not Expire"/>
    <x v="1"/>
    <e v="#N/A"/>
    <m/>
    <s v="NR"/>
    <m/>
  </r>
  <r>
    <n v="182"/>
    <x v="34"/>
    <s v="Hardtop XP Comp B"/>
    <s v="B"/>
    <s v="L"/>
    <n v="1.8"/>
    <n v="2"/>
    <n v="3.6"/>
    <m/>
    <n v="0"/>
    <n v="3.6"/>
    <s v="done"/>
    <n v="3720780"/>
    <s v="ACME"/>
    <n v="1"/>
    <d v="2024-11-15T00:00:00"/>
    <d v="2028-11-14T00:00:00"/>
    <d v="2025-07-30T00:00:00"/>
    <n v="1203"/>
    <x v="1"/>
    <s v="Not Expire"/>
    <x v="0"/>
    <s v="DFIPL Purchase"/>
    <s v="need to confirm the client name"/>
    <s v="System"/>
    <m/>
  </r>
  <r>
    <n v="161"/>
    <x v="66"/>
    <s v="Jotun Thinner No. 17"/>
    <m/>
    <s v="L"/>
    <n v="20"/>
    <n v="9"/>
    <n v="180"/>
    <m/>
    <n v="0"/>
    <n v="180"/>
    <s v="done"/>
    <n v="3722105"/>
    <s v="INOX"/>
    <n v="4"/>
    <d v="2024-11-18T00:00:00"/>
    <d v="2028-11-17T00:00:00"/>
    <d v="2025-07-30T00:00:00"/>
    <n v="1206"/>
    <x v="1"/>
    <s v="Not Expire"/>
    <x v="1"/>
    <e v="#N/A"/>
    <m/>
    <s v="NR"/>
    <m/>
  </r>
  <r>
    <n v="186"/>
    <x v="67"/>
    <s v="Hardtop XP Comp B"/>
    <s v="B"/>
    <s v="L"/>
    <n v="0.45"/>
    <n v="1"/>
    <n v="0.45"/>
    <m/>
    <n v="0"/>
    <n v="0.45"/>
    <s v="done"/>
    <n v="3740274"/>
    <s v="INOX"/>
    <n v="4"/>
    <d v="2024-12-03T00:00:00"/>
    <d v="2028-12-02T00:00:00"/>
    <d v="2025-07-30T00:00:00"/>
    <n v="1221"/>
    <x v="1"/>
    <s v="Not Expire"/>
    <x v="1"/>
    <e v="#N/A"/>
    <m/>
    <s v="NR"/>
    <m/>
  </r>
  <r>
    <n v="218"/>
    <x v="68"/>
    <s v="Jotun Zinc 100 Comp B"/>
    <s v="B"/>
    <s v="L"/>
    <n v="2.6"/>
    <n v="3"/>
    <n v="7.8000000000000007"/>
    <m/>
    <n v="0"/>
    <n v="7.8000000000000007"/>
    <s v="done"/>
    <n v="3786218"/>
    <s v="SGRE"/>
    <n v="2"/>
    <d v="2025-01-06T00:00:00"/>
    <d v="2029-01-05T00:00:00"/>
    <d v="2025-07-30T00:00:00"/>
    <n v="1255"/>
    <x v="1"/>
    <s v="Not Expire"/>
    <x v="0"/>
    <s v="DFIPL Purchase"/>
    <m/>
    <s v="NR"/>
    <m/>
  </r>
  <r>
    <n v="162"/>
    <x v="51"/>
    <s v="Jotun Thinner No. 10"/>
    <m/>
    <s v="L"/>
    <n v="20"/>
    <n v="12"/>
    <n v="240"/>
    <n v="3"/>
    <n v="60"/>
    <n v="180"/>
    <s v="done"/>
    <n v="3785031"/>
    <s v="SGRE"/>
    <n v="2"/>
    <d v="2025-01-07T00:00:00"/>
    <d v="2029-01-06T00:00:00"/>
    <d v="2025-07-30T00:00:00"/>
    <n v="1256"/>
    <x v="1"/>
    <s v="Not Expire"/>
    <x v="0"/>
    <s v="DFIPL Purchase"/>
    <m/>
    <s v="NR"/>
    <s v="SGRE 620215 S5 Dt. 14.07.2025, SGRE 620173 S3 DT. 02.08.2025, SGRE 620205 DT. 12.08.2025"/>
  </r>
  <r>
    <n v="170"/>
    <x v="29"/>
    <s v="Hardtop WT8 Comp B"/>
    <s v="B"/>
    <s v="L"/>
    <n v="3.3"/>
    <n v="31"/>
    <n v="102.3"/>
    <n v="2"/>
    <n v="6.6"/>
    <n v="95.7"/>
    <s v="done"/>
    <n v="3789932"/>
    <s v="SGRE"/>
    <n v="2"/>
    <d v="2025-01-08T00:00:00"/>
    <d v="2029-01-07T00:00:00"/>
    <d v="2025-07-30T00:00:00"/>
    <n v="1257"/>
    <x v="1"/>
    <s v="Not Expire"/>
    <x v="0"/>
    <s v="DFIPL Purchase"/>
    <m/>
    <s v="NR"/>
    <s v="SGRE 620205 S5 DT. 12.08.2025"/>
  </r>
  <r>
    <n v="24"/>
    <x v="69"/>
    <s v="Hardtop XP Base 6A"/>
    <s v="A"/>
    <s v="L"/>
    <n v="16.809999999999999"/>
    <n v="21"/>
    <n v="353.01"/>
    <m/>
    <n v="0"/>
    <n v="353.01"/>
    <s v="done"/>
    <n v="3791595"/>
    <s v="INOX"/>
    <n v="4"/>
    <d v="2025-01-09T00:00:00"/>
    <d v="2029-01-08T00:00:00"/>
    <d v="2025-07-30T00:00:00"/>
    <n v="1258"/>
    <x v="1"/>
    <s v="Not Expire"/>
    <x v="1"/>
    <e v="#N/A"/>
    <m/>
    <s v="NR"/>
    <m/>
  </r>
  <r>
    <n v="194"/>
    <x v="18"/>
    <s v="Hardtop WT8 RAL 9018"/>
    <s v="A"/>
    <s v="L"/>
    <n v="16.7"/>
    <n v="25"/>
    <n v="417.5"/>
    <n v="2"/>
    <n v="33.4"/>
    <n v="384.1"/>
    <s v="done"/>
    <n v="3791457"/>
    <s v="SGRE"/>
    <n v="2"/>
    <d v="2025-01-09T00:00:00"/>
    <d v="2029-01-08T00:00:00"/>
    <d v="2025-07-30T00:00:00"/>
    <n v="1258"/>
    <x v="1"/>
    <s v="Not Expire"/>
    <x v="0"/>
    <s v="DFIPL Purchase"/>
    <m/>
    <s v="NR"/>
    <s v="SGRE 620205 S5 DT. 12.08.2025"/>
  </r>
  <r>
    <n v="163"/>
    <x v="65"/>
    <s v="Jotun Thinner No. 10"/>
    <m/>
    <s v="L"/>
    <n v="20"/>
    <n v="14"/>
    <n v="280"/>
    <m/>
    <n v="0"/>
    <n v="280"/>
    <s v="done"/>
    <n v="3797670"/>
    <s v="INOX"/>
    <n v="4"/>
    <d v="2025-01-15T00:00:00"/>
    <d v="2029-01-14T00:00:00"/>
    <d v="2025-07-30T00:00:00"/>
    <n v="1264"/>
    <x v="1"/>
    <s v="Not Expire"/>
    <x v="1"/>
    <e v="#N/A"/>
    <m/>
    <s v="NR"/>
    <m/>
  </r>
  <r>
    <n v="99"/>
    <x v="66"/>
    <s v="Jotun Thinner No. 17"/>
    <m/>
    <s v="L"/>
    <n v="20"/>
    <n v="58"/>
    <n v="1160"/>
    <m/>
    <n v="0"/>
    <n v="1160"/>
    <s v="done"/>
    <n v="3800852"/>
    <s v="INOX"/>
    <n v="4"/>
    <d v="2025-01-17T00:00:00"/>
    <d v="2029-01-16T00:00:00"/>
    <d v="2025-07-30T00:00:00"/>
    <n v="1266"/>
    <x v="1"/>
    <s v="Not Expire"/>
    <x v="1"/>
    <e v="#N/A"/>
    <m/>
    <s v="NR"/>
    <m/>
  </r>
  <r>
    <n v="223"/>
    <x v="70"/>
    <s v="Hardtop XP Base 3A"/>
    <s v="A"/>
    <s v="L"/>
    <n v="4.37"/>
    <n v="1"/>
    <n v="4.37"/>
    <m/>
    <n v="0"/>
    <n v="4.37"/>
    <s v="done"/>
    <n v="3802453"/>
    <s v="INOX"/>
    <n v="4"/>
    <d v="2025-01-17T00:00:00"/>
    <d v="2029-01-16T00:00:00"/>
    <d v="2025-07-30T00:00:00"/>
    <n v="1266"/>
    <x v="1"/>
    <s v="Not Expire"/>
    <x v="1"/>
    <e v="#N/A"/>
    <m/>
    <s v="NR"/>
    <m/>
  </r>
  <r>
    <n v="3"/>
    <x v="64"/>
    <s v="Penguard Universal Comp B"/>
    <s v="B"/>
    <s v="L"/>
    <n v="5"/>
    <n v="42"/>
    <n v="210"/>
    <m/>
    <n v="0"/>
    <n v="210"/>
    <s v="done"/>
    <n v="3805684"/>
    <s v="INOX"/>
    <n v="4"/>
    <d v="2025-01-21T00:00:00"/>
    <d v="2029-01-20T00:00:00"/>
    <d v="2025-07-30T00:00:00"/>
    <n v="1270"/>
    <x v="1"/>
    <s v="Not Expire"/>
    <x v="1"/>
    <e v="#N/A"/>
    <m/>
    <s v="NR"/>
    <m/>
  </r>
  <r>
    <n v="6"/>
    <x v="64"/>
    <s v="Penguard Universal Comp B"/>
    <s v="B"/>
    <s v="L"/>
    <n v="5"/>
    <n v="93"/>
    <n v="465"/>
    <m/>
    <n v="0"/>
    <n v="465"/>
    <s v="done"/>
    <n v="3805684"/>
    <s v="INOX"/>
    <n v="4"/>
    <d v="2025-01-21T00:00:00"/>
    <d v="2029-01-20T00:00:00"/>
    <d v="2025-07-30T00:00:00"/>
    <n v="1270"/>
    <x v="1"/>
    <s v="Not Expire"/>
    <x v="1"/>
    <e v="#N/A"/>
    <m/>
    <s v="NR"/>
    <m/>
  </r>
  <r>
    <n v="25"/>
    <x v="71"/>
    <s v="Hardtop XP RAL 7035 A"/>
    <s v="A"/>
    <s v="L"/>
    <n v="18.2"/>
    <n v="61"/>
    <n v="1110.2"/>
    <m/>
    <n v="0"/>
    <n v="1110.2"/>
    <s v="done"/>
    <n v="3805675"/>
    <s v="INOX"/>
    <n v="4"/>
    <d v="2025-01-21T00:00:00"/>
    <d v="2029-01-20T00:00:00"/>
    <d v="2025-07-30T00:00:00"/>
    <n v="1270"/>
    <x v="1"/>
    <s v="Not Expire"/>
    <x v="1"/>
    <e v="#N/A"/>
    <m/>
    <s v="NR"/>
    <m/>
  </r>
  <r>
    <n v="26"/>
    <x v="63"/>
    <s v="Penguard Uni RAL 7035A"/>
    <s v="A"/>
    <s v="L"/>
    <n v="15"/>
    <n v="34"/>
    <n v="510"/>
    <m/>
    <n v="0"/>
    <n v="510"/>
    <s v="done"/>
    <n v="3805666"/>
    <s v="INOX"/>
    <n v="4"/>
    <d v="2025-01-21T00:00:00"/>
    <d v="2029-01-20T00:00:00"/>
    <d v="2025-07-30T00:00:00"/>
    <n v="1270"/>
    <x v="1"/>
    <s v="Not Expire"/>
    <x v="1"/>
    <e v="#N/A"/>
    <m/>
    <s v="NR"/>
    <m/>
  </r>
  <r>
    <n v="92"/>
    <x v="63"/>
    <s v="Penguard Uni RAL 7035A"/>
    <s v="A"/>
    <s v="L"/>
    <n v="15"/>
    <n v="122"/>
    <n v="1830"/>
    <m/>
    <n v="0"/>
    <n v="1830"/>
    <s v="done"/>
    <n v="3805666"/>
    <s v="INOX"/>
    <n v="4"/>
    <d v="2025-01-21T00:00:00"/>
    <d v="2029-01-20T00:00:00"/>
    <d v="2025-07-30T00:00:00"/>
    <n v="1270"/>
    <x v="1"/>
    <s v="Not Expire"/>
    <x v="1"/>
    <e v="#N/A"/>
    <m/>
    <s v="NR"/>
    <m/>
  </r>
  <r>
    <n v="191"/>
    <x v="63"/>
    <s v="Penguard Uni RAL 7035A"/>
    <s v="A"/>
    <s v="L"/>
    <n v="15"/>
    <n v="6"/>
    <n v="90"/>
    <m/>
    <n v="0"/>
    <n v="90"/>
    <s v="done"/>
    <n v="3805666"/>
    <s v="INOX"/>
    <n v="4"/>
    <d v="2025-01-21T00:00:00"/>
    <d v="2029-01-20T00:00:00"/>
    <d v="2025-07-30T00:00:00"/>
    <n v="1270"/>
    <x v="1"/>
    <s v="Not Expire"/>
    <x v="1"/>
    <e v="#N/A"/>
    <m/>
    <s v="NR"/>
    <m/>
  </r>
  <r>
    <n v="204"/>
    <x v="64"/>
    <s v="Penguard Universal Comp B"/>
    <s v="B"/>
    <s v="L"/>
    <n v="5"/>
    <n v="107"/>
    <n v="535"/>
    <m/>
    <n v="0"/>
    <n v="535"/>
    <s v="done"/>
    <n v="3805684"/>
    <s v="INOX"/>
    <n v="4"/>
    <d v="2025-01-21T00:00:00"/>
    <d v="2029-01-20T00:00:00"/>
    <d v="2025-07-30T00:00:00"/>
    <n v="1270"/>
    <x v="1"/>
    <s v="Not Expire"/>
    <x v="1"/>
    <e v="#N/A"/>
    <m/>
    <s v="NR"/>
    <m/>
  </r>
  <r>
    <n v="221"/>
    <x v="64"/>
    <s v="Penguard Universal Comp B"/>
    <s v="B"/>
    <s v="L"/>
    <n v="5"/>
    <n v="33"/>
    <n v="165"/>
    <m/>
    <n v="0"/>
    <n v="165"/>
    <s v="done"/>
    <n v="3805683"/>
    <s v="INOX"/>
    <n v="4"/>
    <d v="2025-01-21T00:00:00"/>
    <d v="2029-01-20T00:00:00"/>
    <d v="2025-07-30T00:00:00"/>
    <n v="1270"/>
    <x v="1"/>
    <s v="Not Expire"/>
    <x v="1"/>
    <e v="#N/A"/>
    <m/>
    <s v="NR"/>
    <m/>
  </r>
  <r>
    <n v="222"/>
    <x v="64"/>
    <s v="Penguard Universal Comp B"/>
    <s v="B"/>
    <s v="L"/>
    <n v="5"/>
    <n v="3"/>
    <n v="15"/>
    <m/>
    <n v="0"/>
    <n v="15"/>
    <s v="done"/>
    <n v="3805683"/>
    <s v="INOX"/>
    <n v="4"/>
    <d v="2025-01-21T00:00:00"/>
    <d v="2029-01-20T00:00:00"/>
    <d v="2025-07-30T00:00:00"/>
    <n v="1270"/>
    <x v="1"/>
    <s v="Not Expire"/>
    <x v="1"/>
    <e v="#N/A"/>
    <m/>
    <s v="NR"/>
    <m/>
  </r>
  <r>
    <n v="40"/>
    <x v="55"/>
    <s v="Hardtop XP, Comp B"/>
    <s v="B"/>
    <s v="L"/>
    <n v="1.8"/>
    <n v="81"/>
    <n v="145.80000000000001"/>
    <m/>
    <n v="0"/>
    <n v="145.80000000000001"/>
    <s v="done"/>
    <n v="3806819"/>
    <s v="INOX"/>
    <n v="4"/>
    <d v="2025-01-22T00:00:00"/>
    <d v="2029-01-21T00:00:00"/>
    <d v="2025-07-30T00:00:00"/>
    <n v="1271"/>
    <x v="1"/>
    <s v="Not Expire"/>
    <x v="1"/>
    <e v="#N/A"/>
    <m/>
    <s v="NR"/>
    <m/>
  </r>
  <r>
    <n v="220"/>
    <x v="72"/>
    <s v="Penguard Uni Grey A"/>
    <s v="A"/>
    <s v="L"/>
    <n v="15"/>
    <n v="129"/>
    <n v="1935"/>
    <m/>
    <n v="0"/>
    <n v="1935"/>
    <s v="done"/>
    <n v="3805528"/>
    <s v="INOX"/>
    <n v="4"/>
    <d v="2025-01-21T00:00:00"/>
    <d v="2029-01-21T00:00:00"/>
    <d v="2025-07-30T00:00:00"/>
    <n v="1271"/>
    <x v="1"/>
    <s v="Not Expire"/>
    <x v="1"/>
    <e v="#N/A"/>
    <m/>
    <s v="NR"/>
    <m/>
  </r>
  <r>
    <n v="224"/>
    <x v="70"/>
    <s v="Hardtop XP Base 3A"/>
    <s v="A"/>
    <s v="L"/>
    <n v="4.37"/>
    <n v="1"/>
    <n v="4.37"/>
    <m/>
    <n v="0"/>
    <n v="4.37"/>
    <s v="done"/>
    <n v="3806910"/>
    <s v="INOX"/>
    <n v="4"/>
    <d v="2025-01-23T00:00:00"/>
    <d v="2029-01-22T00:00:00"/>
    <d v="2025-07-30T00:00:00"/>
    <n v="1272"/>
    <x v="1"/>
    <s v="Not Expire"/>
    <x v="1"/>
    <e v="#N/A"/>
    <m/>
    <s v="NR"/>
    <m/>
  </r>
  <r>
    <n v="185"/>
    <x v="67"/>
    <s v="Hardtop XP Comp B"/>
    <s v="B"/>
    <s v="L"/>
    <n v="0.45"/>
    <n v="1"/>
    <n v="0.45"/>
    <m/>
    <n v="0"/>
    <n v="0.45"/>
    <s v="done"/>
    <n v="3813726"/>
    <s v="INOX"/>
    <n v="4"/>
    <d v="2025-01-31T00:00:00"/>
    <d v="2029-01-30T00:00:00"/>
    <d v="2025-07-30T00:00:00"/>
    <n v="1280"/>
    <x v="1"/>
    <s v="Not Expire"/>
    <x v="1"/>
    <e v="#N/A"/>
    <m/>
    <s v="NR"/>
    <m/>
  </r>
  <r>
    <n v="73"/>
    <x v="15"/>
    <s v="Jotun Thinner No. 17"/>
    <m/>
    <s v="L"/>
    <n v="20"/>
    <n v="3"/>
    <n v="60"/>
    <n v="3"/>
    <n v="60"/>
    <n v="0"/>
    <s v="done"/>
    <n v="3835295"/>
    <s v="Welspun"/>
    <n v="3"/>
    <d v="2025-02-24T00:00:00"/>
    <d v="2029-02-23T00:00:00"/>
    <d v="2025-07-30T00:00:00"/>
    <n v="1304"/>
    <x v="1"/>
    <s v="Not Expire"/>
    <x v="0"/>
    <s v="DFIPL Purchase"/>
    <m/>
    <s v="NR"/>
    <s v="WELSPUN TN 6 S5 AND S4, WELSPUN TN 7 S5 DT. 01.08.2025, WESLPUN TN 9 S3 DT. 20.08.2025 "/>
  </r>
  <r>
    <n v="102"/>
    <x v="15"/>
    <s v="Jotun Thinner No. 17"/>
    <m/>
    <s v="L"/>
    <n v="20"/>
    <n v="2"/>
    <n v="40"/>
    <n v="2"/>
    <n v="40"/>
    <n v="0"/>
    <s v="done"/>
    <n v="3835295"/>
    <s v="INOX"/>
    <n v="4"/>
    <d v="2025-02-24T00:00:00"/>
    <d v="2029-02-23T00:00:00"/>
    <d v="2025-07-30T00:00:00"/>
    <n v="1304"/>
    <x v="1"/>
    <s v="Not Expire"/>
    <x v="1"/>
    <m/>
    <m/>
    <s v="NR"/>
    <m/>
  </r>
  <r>
    <n v="155"/>
    <x v="73"/>
    <s v="Hardtop XP II Base 1A"/>
    <s v="A"/>
    <s v="L"/>
    <n v="16.02"/>
    <n v="60"/>
    <n v="961.19999999999993"/>
    <n v="40"/>
    <n v="640.79999999999995"/>
    <n v="320.39999999999998"/>
    <s v="done"/>
    <n v="3860012"/>
    <s v="ACME 2.O"/>
    <n v="1"/>
    <d v="2025-03-18T00:00:00"/>
    <d v="2029-03-17T00:00:00"/>
    <d v="2025-07-30T00:00:00"/>
    <n v="1326"/>
    <x v="1"/>
    <s v="Not Expire"/>
    <x v="0"/>
    <s v="DFIPL Purchase"/>
    <m/>
    <s v="NR"/>
    <s v="ACME TN 7 S5, ACME TN 8 S2, ACME TN 8 S5 DT. 16.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 ACME TN 11 S1 DT. 26.08.2025 "/>
  </r>
  <r>
    <n v="128"/>
    <x v="74"/>
    <s v="Hardtop XP Base 6A"/>
    <s v="A"/>
    <s v="L"/>
    <n v="16.806999999999999"/>
    <n v="3"/>
    <n v="50.420999999999992"/>
    <m/>
    <n v="0"/>
    <n v="50.420999999999992"/>
    <s v="done"/>
    <n v="3890304"/>
    <s v="ACME 2.O"/>
    <n v="1"/>
    <d v="2025-04-16T00:00:00"/>
    <d v="2029-04-15T00:00:00"/>
    <d v="2025-07-30T00:00:00"/>
    <n v="1355"/>
    <x v="1"/>
    <s v="Not Expire"/>
    <x v="0"/>
    <s v="DFIPL Purchase"/>
    <m/>
    <s v="NR"/>
    <s v="ACME TN 8 S5 DT.16.07.2025, ACME TN 9 S5 DT. 27.07.2025"/>
  </r>
  <r>
    <n v="154"/>
    <x v="75"/>
    <s v="Hardtop XP B 2009"/>
    <s v="B"/>
    <s v="L"/>
    <n v="1.8"/>
    <n v="3"/>
    <n v="5.4"/>
    <n v="3"/>
    <n v="5.4"/>
    <n v="0"/>
    <s v="done"/>
    <n v="3896596"/>
    <s v="ACME 2.O"/>
    <n v="1"/>
    <d v="2025-04-23T00:00:00"/>
    <d v="2029-04-22T00:00:00"/>
    <d v="2025-07-30T00:00:00"/>
    <n v="1362"/>
    <x v="1"/>
    <s v="Not Expire"/>
    <x v="0"/>
    <s v="DFIPL Purchase"/>
    <m/>
    <s v="NR"/>
    <s v="ACME TN 9 S5 DT. 27.07.2025, ACME TN 10 S5 DT. 06.08.2025, WELSPUN TN 9 S5 DT. 25.08.2025, WELSPUN TN 10 S5 DT. 27.08.2025"/>
  </r>
  <r>
    <n v="77"/>
    <x v="58"/>
    <s v="Hempel's Thinner 8450"/>
    <m/>
    <s v="L"/>
    <n v="20"/>
    <n v="9"/>
    <n v="180"/>
    <m/>
    <n v="0"/>
    <n v="180"/>
    <s v="done"/>
    <n v="74045233"/>
    <s v="Adani"/>
    <n v="1"/>
    <d v="2024-04-24T00:00:00"/>
    <d v="2029-04-24T00:00:00"/>
    <d v="2025-07-30T00:00:00"/>
    <n v="1364"/>
    <x v="1"/>
    <s v="Not Expire"/>
    <x v="1"/>
    <e v="#N/A"/>
    <m/>
    <s v="NR"/>
    <s v="ADANI TN 19 SG4"/>
  </r>
  <r>
    <n v="129"/>
    <x v="56"/>
    <s v="Hardtop XP Base 3A RAL 5015"/>
    <s v="A"/>
    <s v="L"/>
    <n v="17.309999999999999"/>
    <n v="1"/>
    <n v="17.309999999999999"/>
    <m/>
    <n v="0"/>
    <n v="17.309999999999999"/>
    <s v="done"/>
    <n v="3900767"/>
    <s v="ACME 2.O"/>
    <n v="1"/>
    <d v="2025-04-28T00:00:00"/>
    <d v="2029-04-27T00:00:00"/>
    <d v="2025-07-30T00:00:00"/>
    <n v="1367"/>
    <x v="1"/>
    <s v="Not Expire"/>
    <x v="0"/>
    <s v="DFIPL Purchase"/>
    <m/>
    <s v="NR"/>
    <m/>
  </r>
  <r>
    <n v="130"/>
    <x v="76"/>
    <s v="Hardtop XP Base 3A RAL 3028"/>
    <s v="A"/>
    <s v="L"/>
    <n v="18.8"/>
    <n v="1"/>
    <n v="18.8"/>
    <m/>
    <n v="0"/>
    <n v="18.8"/>
    <s v="done"/>
    <n v="3900767"/>
    <s v="ACME 2.O"/>
    <n v="1"/>
    <d v="2025-04-28T00:00:00"/>
    <d v="2029-04-27T00:00:00"/>
    <d v="2025-07-30T00:00:00"/>
    <n v="1367"/>
    <x v="1"/>
    <s v="Not Expire"/>
    <x v="0"/>
    <s v="DFIPL Purchase"/>
    <m/>
    <s v="NR"/>
    <m/>
  </r>
  <r>
    <n v="131"/>
    <x v="17"/>
    <s v="Hardtop XP Base 3A RAL 9005"/>
    <s v="A"/>
    <s v="L"/>
    <n v="17.39"/>
    <n v="1"/>
    <n v="17.39"/>
    <m/>
    <n v="0"/>
    <n v="17.39"/>
    <s v="done"/>
    <n v="3900767"/>
    <s v="ACME 2.O"/>
    <n v="1"/>
    <d v="2025-04-28T00:00:00"/>
    <d v="2029-04-27T00:00:00"/>
    <d v="2025-07-30T00:00:00"/>
    <n v="1367"/>
    <x v="1"/>
    <s v="Not Expire"/>
    <x v="0"/>
    <s v="DFIPL Purchase"/>
    <m/>
    <s v="NR"/>
    <m/>
  </r>
  <r>
    <n v="16"/>
    <x v="51"/>
    <s v="Jotun Thinner No. 10"/>
    <m/>
    <s v="L"/>
    <n v="20"/>
    <n v="2"/>
    <n v="40"/>
    <m/>
    <n v="0"/>
    <n v="40"/>
    <s v="done"/>
    <n v="3902728"/>
    <s v="ACME 2.O"/>
    <n v="1"/>
    <d v="2025-04-29T00:00:00"/>
    <d v="2029-04-28T00:00:00"/>
    <d v="2025-07-30T00:00:00"/>
    <n v="1368"/>
    <x v="1"/>
    <s v="Not Expire"/>
    <x v="0"/>
    <s v="DFIPL Purchase"/>
    <m/>
    <s v="NR"/>
    <s v="ACME TN 7 -S3, ACME TN 7 S5, ACME TN 8 S2, ACME TN 9 S5 DT. 27.07.2025"/>
  </r>
  <r>
    <n v="153"/>
    <x v="77"/>
    <s v="Hardtop XP II Comp B RAL 9005"/>
    <s v="B"/>
    <s v="L"/>
    <n v="2.2000000000000002"/>
    <n v="69"/>
    <n v="151.80000000000001"/>
    <n v="50"/>
    <n v="110.00000000000001"/>
    <n v="41.8"/>
    <s v="done"/>
    <n v="3904148"/>
    <s v="ACME 2.O"/>
    <n v="1"/>
    <d v="2025-04-29T00:00:00"/>
    <d v="2029-04-28T00:00:00"/>
    <d v="2025-07-30T00:00:00"/>
    <n v="1368"/>
    <x v="1"/>
    <s v="Not Expire"/>
    <x v="0"/>
    <s v="DFIPL Purchase"/>
    <m/>
    <s v="NR"/>
    <s v="ACME TN 7 -S3, ACME TN 7 S4, ACME TN 7 S5, ACME TN 8 S2, ACME TN 8 S4 DT.15.07.2025, ACME TN 8 S5 DT. 16.07.2025, ACME TN 8 S3 DT. 19.07.2025, ACME TN 9 S3 DT. 23.07.2025, ACME TN 9 S4 DT. 23.07.2025, ACME TN 9 S2 DT. 26.07.2025, ACME TN 9 S5 DT. 27.07.2025, ACME TN 10 S4 DT. 30.07.2025, ACME TN 10 S2 DT. 04.08.2025, ACME TN 8 S1 DT. 05.08.2025, ACME TN 10 S5 DT. 06.08.2025, ACME TN 9 S1 DT. 07.08.2025, ACME TN 11 S2 DT. 09.08.2025, ACME TN 11 S5 DT. 14.08.2025, ACME TN 11 S4 DT. 16.08.2025, ACME TN 10 S1 DT. 22.08.2025, ACME TN 12 S4 DT. 24.08.2025, ACME TN 12 S3 DT. 26.08.2025, ACME TN 11 S1 DT. 26.08.2025 "/>
  </r>
  <r>
    <n v="15"/>
    <x v="15"/>
    <s v="Jotun Thinner No. 17"/>
    <m/>
    <s v="L"/>
    <n v="20"/>
    <n v="16"/>
    <n v="320"/>
    <n v="2"/>
    <n v="40"/>
    <n v="280"/>
    <s v="done"/>
    <n v="3904020"/>
    <s v="ACME 2.O"/>
    <n v="1"/>
    <d v="2025-04-30T00:00:00"/>
    <d v="2029-04-29T00:00:00"/>
    <d v="2025-07-30T00:00:00"/>
    <n v="1369"/>
    <x v="1"/>
    <s v="Not Expire"/>
    <x v="0"/>
    <s v="DFIPL Purchase"/>
    <m/>
    <s v="NR"/>
    <s v="ACME TN 7 -S3, ACME TN 7 S4, ACME TN 7 S5, ACME TN 8 S4 DT. 14.07.2025, ACME TN 8 S4 DT. 15.07.2025, ACME TN 8 S5 DT. 16.07.2025, ACME TN 9 S3 DT. 22.07.2025, ACME TN 9 S5 DT. 27.07.2025, ACME TN 10 S4 DT. 30.07.2025, ACME TN 10 S2 DT. 04.08.2025"/>
  </r>
  <r>
    <n v="156"/>
    <x v="73"/>
    <s v="Hardtop XP II Base 1A RAL 9003"/>
    <s v="A"/>
    <s v="L"/>
    <n v="16.02"/>
    <n v="10"/>
    <n v="160.19999999999999"/>
    <n v="10"/>
    <n v="160.19999999999999"/>
    <n v="0"/>
    <s v="done"/>
    <n v="3904037"/>
    <s v="ACME 2.O"/>
    <n v="1"/>
    <d v="2025-04-30T00:00:00"/>
    <d v="2029-04-29T00:00:00"/>
    <d v="2025-07-30T00:00:00"/>
    <n v="1369"/>
    <x v="1"/>
    <s v="Not Expire"/>
    <x v="0"/>
    <s v="DFIPL Purchase"/>
    <m/>
    <s v="NR"/>
    <s v="ACME TN 8 S4 DT. 15.07.2025, ACME TN 8 S3 DT. 19.07.2025, ACME TN 9 S3 DT. 23.07.2025, ACME TN 9 S4 DT. 23.07.2025, ACME TN 9 S2 DT. 26.07.2025"/>
  </r>
  <r>
    <n v="14"/>
    <x v="15"/>
    <s v="Jotun Thinner No. 17"/>
    <m/>
    <s v="L"/>
    <n v="20"/>
    <n v="33"/>
    <n v="660"/>
    <n v="16"/>
    <n v="320"/>
    <n v="340"/>
    <s v="done"/>
    <n v="3905653"/>
    <s v="ACME 2.O"/>
    <n v="1"/>
    <d v="2025-05-02T00:00:00"/>
    <d v="2029-05-01T00:00:00"/>
    <d v="2025-07-30T00:00:00"/>
    <n v="1371"/>
    <x v="1"/>
    <s v="Not Expire"/>
    <x v="0"/>
    <s v="DFIPL Purchase"/>
    <m/>
    <s v="NR"/>
    <s v="ACME TN 9 S2 DT. 26.07.2025, ACME TN 8 S1 DT. 05.08.2025, ACME TN 11 S2 DT. 09.08.2025, ACME TN 11 S5 DT. 14.08.2025, ACME TN 11 S4 DT. 16.08.2025, ACME TN 10 S1 DT. 22.08.2025, ACME TN 12 S4 DT. 24.08.2025, ACME TN 12 S3 DT. 26.08.2025, ACME TN 11 S1 DT. 26.08.2025"/>
  </r>
  <r>
    <n v="8"/>
    <x v="61"/>
    <s v="Hardtop WT8 Comp B"/>
    <s v="B "/>
    <s v="L"/>
    <n v="3.3"/>
    <n v="31"/>
    <n v="102.3"/>
    <n v="31"/>
    <n v="102.3"/>
    <n v="0"/>
    <s v="done"/>
    <n v="3910488"/>
    <s v="Welspun"/>
    <n v="3"/>
    <d v="2025-05-07T00:00:00"/>
    <d v="2029-05-06T00:00:00"/>
    <d v="2025-07-30T00:00:00"/>
    <n v="1376"/>
    <x v="1"/>
    <s v="Not Expire"/>
    <x v="0"/>
    <s v="DFIPL Purchase"/>
    <m/>
    <s v="NR"/>
    <s v="WELSPUN TN 6 S3, WELSPUN TN 6 S5,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
  </r>
  <r>
    <n v="146"/>
    <x v="61"/>
    <s v="Hardtop WT8 Comp B"/>
    <s v="B"/>
    <s v="L"/>
    <n v="3.3"/>
    <n v="32"/>
    <n v="105.6"/>
    <n v="12"/>
    <n v="39.599999999999994"/>
    <n v="66"/>
    <s v="done"/>
    <n v="3910488"/>
    <s v="Welspun"/>
    <n v="3"/>
    <d v="2025-05-07T00:00:00"/>
    <d v="2029-05-06T00:00:00"/>
    <d v="2025-07-30T00:00:00"/>
    <n v="1376"/>
    <x v="1"/>
    <s v="Not Expire"/>
    <x v="0"/>
    <s v="DFIPL Purchase"/>
    <m/>
    <s v="NR"/>
    <s v="WELSPUN TN 9 S3 DT. 20.08.2025, WELSPUN TN 9 S4 DT. 21.08.2025, WELSPUN TN 9 S5 DT. 25.08.2025, WELSPUN TN 10 S5 DT. 27.08.2025, WELSPUN TN 8 S1 DT. 28.08.2025"/>
  </r>
  <r>
    <n v="17"/>
    <x v="62"/>
    <s v="Hardtop WT8 RAL 7035"/>
    <s v="A"/>
    <s v="L"/>
    <n v="16.7"/>
    <n v="31"/>
    <n v="517.69999999999993"/>
    <n v="31"/>
    <n v="517.69999999999993"/>
    <n v="0"/>
    <s v="done"/>
    <n v="3923158"/>
    <s v="Welspun"/>
    <n v="3"/>
    <d v="2025-05-17T00:00:00"/>
    <d v="2029-05-16T00:00:00"/>
    <d v="2025-07-30T00:00:00"/>
    <n v="1386"/>
    <x v="1"/>
    <s v="Not Expire"/>
    <x v="0"/>
    <s v="DFIPL Purchase"/>
    <m/>
    <s v="NR"/>
    <s v="WELPSUN TN 6 S3,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
  </r>
  <r>
    <n v="148"/>
    <x v="75"/>
    <s v="Hardtop Part B  Orange"/>
    <s v="B"/>
    <s v="L"/>
    <n v="1.8"/>
    <n v="11"/>
    <n v="19.8"/>
    <n v="8"/>
    <n v="14.4"/>
    <n v="5.4"/>
    <s v="done"/>
    <n v="3937843"/>
    <s v="ACME 2.O"/>
    <n v="1"/>
    <d v="2025-05-30T00:00:00"/>
    <d v="2029-05-29T00:00:00"/>
    <d v="2025-07-30T00:00:00"/>
    <n v="1399"/>
    <x v="1"/>
    <s v="Not Expire"/>
    <x v="0"/>
    <s v="DFIPL Purchase"/>
    <m/>
    <s v="NR"/>
    <s v="WELSPUN TN 5 S5, ACME TN 7 S5, WELSPUN TN 6 S5, ACME TN 8 S5 DT. 16.07.2025, WELSPUN TN 7 S2 DT. 24.07.2025, WELSPUN TN 7 S5 DT. 01.08.2025, ACME TN 11 S4 DT. 16.08.2025, WELSPUN TN 9 S2 DT. 19.08.2025 "/>
  </r>
  <r>
    <n v="23"/>
    <x v="51"/>
    <s v="Jotun Thinner 10"/>
    <m/>
    <s v="L"/>
    <n v="20"/>
    <n v="16"/>
    <n v="320"/>
    <n v="21"/>
    <n v="420"/>
    <n v="-100"/>
    <s v="done"/>
    <n v="3940620"/>
    <s v="Welspun"/>
    <n v="3"/>
    <d v="2025-06-03T00:00:00"/>
    <d v="2029-06-02T00:00:00"/>
    <d v="2025-07-30T00:00:00"/>
    <n v="1403"/>
    <x v="1"/>
    <s v="Not Expire"/>
    <x v="0"/>
    <s v="DFIPL Purchase"/>
    <m/>
    <s v="NR"/>
    <s v="WELSPUN TN 6 S3, WELSPUN TN 6 S5, WELSPUN TN 6 S4, WELSPUN TN 6 S1 DT. 15.07.2025, WELSPUN TN 7 S3 DT. 25.07.2025, WELSPUN TN 7 S2 DT. 24.07.2025, WELSPUN TN 7 S4 DT. 28.07.2025, WELSPUN TN 7 S5 DT. 01.08.2025, WELSPUN TN 8 S3 DT. 08.08.2025, WELSPUN TN 8 S2 DT. 13.08.2025, WELSPUN TN 8 S4 DT. 13.08.2025, WELSPUN TN 8 S5 DT. 17.08.2025, WELSPUN TN 7 S1 DT. 18.08.2025, WELSPUN TN 9 S2 DT. 19.08.2025, WELSPUN TN 9 S3 DT. 20.08.2025, WELSPUN TN 9 S4 DT. 21.08.2025,WELSPUN TN 9 S1 DT. 23.08.2025, WELSPUN TN 9 S5 DT. 25.08.2025, WELSPUN TN 10 S5 DT. 27.08.2025  "/>
  </r>
  <r>
    <n v="150"/>
    <x v="78"/>
    <s v="Hardtop XP Base 3A"/>
    <s v="A"/>
    <s v="L"/>
    <n v="17.77"/>
    <n v="1"/>
    <n v="17.77"/>
    <m/>
    <n v="0"/>
    <n v="17.77"/>
    <s v="done"/>
    <n v="3943270"/>
    <s v="ACME 2.O"/>
    <n v="1"/>
    <d v="2025-06-05T00:00:00"/>
    <d v="2029-06-04T00:00:00"/>
    <d v="2025-07-30T00:00:00"/>
    <n v="1405"/>
    <x v="1"/>
    <s v="Not Expire"/>
    <x v="0"/>
    <s v="DFIPL Purchase"/>
    <m/>
    <s v="NR"/>
    <m/>
  </r>
  <r>
    <n v="22"/>
    <x v="15"/>
    <s v="Jotun Thinner 17"/>
    <m/>
    <s v="L"/>
    <n v="20"/>
    <n v="39"/>
    <n v="780"/>
    <n v="36"/>
    <n v="720"/>
    <n v="60"/>
    <s v="done"/>
    <n v="3943290"/>
    <s v="Welspun"/>
    <n v="3"/>
    <d v="2025-06-05T00:00:00"/>
    <d v="2029-06-04T00:00:00"/>
    <d v="2025-07-30T00:00:00"/>
    <n v="1405"/>
    <x v="1"/>
    <s v="Not Expire"/>
    <x v="0"/>
    <s v="DFIPL Purchase"/>
    <m/>
    <s v="NR"/>
    <s v="WELSPUN TN 6 S3, WELSPUN TN 6 S1 DT. 15.07.2025, WELSPUN TN 7 S3 DT. 25.07.2025, WELSPUN TN 7 S2 DT. 24.07.2025, WELSPUN TN 7 S4 DT. 28.07.2025, WELSPUN TN 8 S3 DT. 08.08.2025, WELSPUN TN 8 S2 DT. 13.08.2025, WELSPUN TN 8 S4 DT. 13.08.2025, WELSPUN TN 8 S5 DT. 17.08.2025, WELSPUN TN 7 S1 DT. 18.08.2025, WELSPUN TN 9 S2 DT. 19.08.2025, WELSPUN TN 9 S3 DT. 20.08.2025, WELSPUN TN 9 S4 DT. 21.08.2025, WELSPUN TN 9 S5 DT. 25.08.2025, WELSPUN TN 10 S5 DT. 27.08.2025, WELSPUN TN 8 S1 DT. 28.08.2025"/>
  </r>
  <r>
    <n v="149"/>
    <x v="79"/>
    <s v="Hardtop XP Base 6A"/>
    <s v="A"/>
    <s v="L"/>
    <n v="16.809999999999999"/>
    <n v="11"/>
    <n v="184.91"/>
    <n v="11"/>
    <n v="184.91"/>
    <n v="0"/>
    <s v="done"/>
    <n v="3945307"/>
    <s v="ACME 2.O"/>
    <n v="1"/>
    <d v="2025-06-09T00:00:00"/>
    <d v="2029-06-08T00:00:00"/>
    <d v="2025-07-30T00:00:00"/>
    <n v="1409"/>
    <x v="1"/>
    <s v="Not Expire"/>
    <x v="0"/>
    <s v="DFIPL Purchase"/>
    <m/>
    <s v="NR"/>
    <s v="WELSPUN TN 5 S5, ACME TN 7 S5, WELSPUN TN 6 S5, WELSPUN TN 7 S2 DT. 24.07.2025, WELSPUN TN 7 S5 DT. 01.08.2025, ACME TN 10 S5 DT. 06.08.2025, ACME TN 11 S4 DT. 16.08.2025, WELSPUN TN 9 S2 DT. 19.08.2025, WELSPUN TN 9 S5 DT. 25.08.2025, WELSPUN TN 10 S5 DT. 27.08.2025"/>
  </r>
  <r>
    <n v="144"/>
    <x v="62"/>
    <s v="Hardtop WT8 RAL 7035"/>
    <s v="A"/>
    <s v="L"/>
    <n v="16.7"/>
    <n v="32"/>
    <n v="534.4"/>
    <n v="12"/>
    <n v="200.39999999999998"/>
    <n v="334"/>
    <s v="done"/>
    <n v="3945414"/>
    <s v="Welspun"/>
    <n v="3"/>
    <d v="2025-06-09T00:00:00"/>
    <d v="2029-06-08T00:00:00"/>
    <d v="2025-07-30T00:00:00"/>
    <n v="1409"/>
    <x v="1"/>
    <s v="Not Expire"/>
    <x v="0"/>
    <s v="DFIPL Purchase"/>
    <m/>
    <s v="NR"/>
    <s v="WELSPUN TN 9 S3 DT. 20.08.2025, WELSPUN TN 9 S4 DT. 21.08.2025, WELSPUN TN 9 S5 DT. 25.08.2025, WELSPUN TN 10 S5 DT. 27.08.2025, WELSPUN TN 8 S1 DT. 28.08.2025"/>
  </r>
  <r>
    <n v="74"/>
    <x v="51"/>
    <s v="Jotun Thinner No. 10"/>
    <m/>
    <s v="L"/>
    <n v="20"/>
    <n v="20"/>
    <n v="400"/>
    <n v="12"/>
    <n v="240"/>
    <n v="160"/>
    <s v="done"/>
    <n v="3956929"/>
    <s v="ACME 2.O"/>
    <n v="1"/>
    <d v="2025-06-19T00:00:00"/>
    <d v="2029-06-18T00:00:00"/>
    <d v="2025-07-30T00:00:00"/>
    <n v="1419"/>
    <x v="1"/>
    <s v="Not Expire"/>
    <x v="0"/>
    <s v="DFIPL Purchase"/>
    <m/>
    <s v="NR"/>
    <s v="ACME TN 9 S3 DT. 23.07.2025, ACME TN 9 S2 DT. 26.07.2025, ACME TN 10 S4 DT. 30.07.2025, ACME TN 10 S2 DT. 04.08.2025, ACME TN 8 S1 DT. 05.08.2025, ACME TN 10 S5 DT. 06.08.2025, ACME TN 9 S1 DT. 07.08.2025, ACME TN 11 S2 DT. 09.08.2025, ACME  TN 11 S4 DT. 16.08.2025, ACME TN 10 S1 DT. 22.08.2025, ACME TN 12 S4 DT. 24.08.2025, ACME TN 12 S3 DT. 26.08.2025, ACME TN 11 S1 DT. 26.08.2025, WELSPUN TN 8 S1 DT. 28.08.2025 "/>
  </r>
  <r>
    <n v="76"/>
    <x v="15"/>
    <s v="Jotun Thinner No. 17"/>
    <m/>
    <s v="L"/>
    <n v="20"/>
    <n v="3"/>
    <n v="60"/>
    <n v="3"/>
    <n v="60"/>
    <n v="0"/>
    <s v="done"/>
    <n v="3958435"/>
    <s v="ACME 2.O"/>
    <n v="1"/>
    <d v="2025-06-26T00:00:00"/>
    <d v="2029-06-19T00:00:00"/>
    <d v="2025-07-30T00:00:00"/>
    <n v="1420"/>
    <x v="1"/>
    <s v="Not Expire"/>
    <x v="0"/>
    <s v="DFIPL Purchase"/>
    <m/>
    <s v="NR"/>
    <s v="ACME TN 7 S3, ACME TN 9 S4 DT. 23.07.2025, ACME TN 10 S5 DT. 06.08.2025, ACME TN 9 S1 DT. 07.08.2025, ACME TN 11 S2 DT. 09.08.2025"/>
  </r>
  <r>
    <n v="78"/>
    <x v="58"/>
    <s v="Hempel's Thinner 8450"/>
    <m/>
    <s v="L"/>
    <n v="20"/>
    <n v="1"/>
    <n v="20"/>
    <m/>
    <n v="0"/>
    <n v="20"/>
    <s v="done"/>
    <n v="74085284"/>
    <s v="Adani"/>
    <n v="1"/>
    <d v="2024-09-04T00:00:00"/>
    <d v="2029-09-04T00:00:00"/>
    <d v="2025-07-30T00:00:00"/>
    <n v="1497"/>
    <x v="1"/>
    <s v="Not Expire"/>
    <x v="1"/>
    <e v="#N/A"/>
    <m/>
    <s v="NR"/>
    <m/>
  </r>
  <r>
    <n v="47"/>
    <x v="80"/>
    <s v="Hempel's Thinner 8450"/>
    <m/>
    <s v="L"/>
    <n v="20"/>
    <n v="1"/>
    <n v="20"/>
    <m/>
    <n v="0"/>
    <n v="20"/>
    <s v="done"/>
    <n v="74105021"/>
    <s v="Ayana "/>
    <n v="3"/>
    <d v="2024-10-03T00:00:00"/>
    <d v="2029-10-03T00:00:00"/>
    <d v="2025-07-30T00:00:00"/>
    <n v="1526"/>
    <x v="1"/>
    <s v="Not Expire"/>
    <x v="0"/>
    <s v="DFIPL Purchase"/>
    <m/>
    <s v="NR"/>
    <s v="AYANA 364 TN 01 S1"/>
  </r>
  <r>
    <n v="85"/>
    <x v="58"/>
    <s v="Hempel Thinner 08450"/>
    <m/>
    <s v="L"/>
    <n v="20"/>
    <n v="23"/>
    <n v="460"/>
    <m/>
    <n v="0"/>
    <n v="460"/>
    <s v="done"/>
    <n v="74115020"/>
    <s v="Adani"/>
    <n v="1"/>
    <d v="2024-11-18T00:00:00"/>
    <d v="2029-11-18T00:00:00"/>
    <d v="2025-07-30T00:00:00"/>
    <n v="1572"/>
    <x v="1"/>
    <s v="Not Expire"/>
    <x v="1"/>
    <e v="#N/A"/>
    <m/>
    <s v="NR"/>
    <m/>
  </r>
  <r>
    <n v="81"/>
    <x v="58"/>
    <s v="Hempel's Thinner 8450"/>
    <m/>
    <s v="L"/>
    <n v="20"/>
    <n v="21"/>
    <n v="420"/>
    <n v="2"/>
    <n v="40"/>
    <n v="380"/>
    <s v="done"/>
    <n v="74115109"/>
    <s v="Adani"/>
    <n v="1"/>
    <d v="2024-11-22T00:00:00"/>
    <d v="2029-11-22T00:00:00"/>
    <d v="2025-07-30T00:00:00"/>
    <n v="1576"/>
    <x v="1"/>
    <s v="Not Expire"/>
    <x v="1"/>
    <e v="#N/A"/>
    <m/>
    <s v="NR"/>
    <s v="ADANI TN 19 SG5"/>
  </r>
  <r>
    <n v="132"/>
    <x v="81"/>
    <s v="Hempel Thinner 08080"/>
    <s v="B"/>
    <s v="L"/>
    <n v="20"/>
    <n v="4"/>
    <n v="80"/>
    <n v="1"/>
    <n v="20"/>
    <n v="60"/>
    <s v="done"/>
    <n v="75035374"/>
    <s v="Adani"/>
    <n v="1"/>
    <d v="2025-04-10T00:00:00"/>
    <d v="2030-04-10T00:00:00"/>
    <d v="2025-07-30T00:00:00"/>
    <n v="1715"/>
    <x v="1"/>
    <s v="Not Expire"/>
    <x v="1"/>
    <e v="#N/A"/>
    <s v="need to confirm the expiry date"/>
    <s v="OK checked again"/>
    <s v="ADANI TN 19 SG2, ADANI TN 19 SG3, ADANI TN 19 SG5"/>
  </r>
  <r>
    <n v="133"/>
    <x v="58"/>
    <s v="Hempel Thinner 08450"/>
    <m/>
    <s v="L"/>
    <n v="20"/>
    <n v="26"/>
    <n v="520"/>
    <m/>
    <n v="0"/>
    <n v="520"/>
    <s v="done"/>
    <n v="75045038"/>
    <s v="Adani"/>
    <n v="1"/>
    <d v="2025-04-14T00:00:00"/>
    <d v="2030-04-14T00:00:00"/>
    <d v="2025-07-30T00:00:00"/>
    <n v="1719"/>
    <x v="1"/>
    <s v="Not Expire"/>
    <x v="1"/>
    <e v="#N/A"/>
    <s v="need to confirm the expiry date"/>
    <s v="OK checked again"/>
    <m/>
  </r>
  <r>
    <n v="79"/>
    <x v="81"/>
    <s v="Hempel's Thinner 08080"/>
    <m/>
    <s v="L"/>
    <n v="20"/>
    <n v="16"/>
    <n v="320"/>
    <m/>
    <n v="0"/>
    <n v="320"/>
    <s v="done"/>
    <n v="75045474"/>
    <s v="Ayana "/>
    <n v="3"/>
    <d v="2025-04-29T00:00:00"/>
    <d v="2030-04-29T00:00:00"/>
    <d v="2025-07-30T00:00:00"/>
    <n v="1734"/>
    <x v="1"/>
    <s v="Not Expire"/>
    <x v="1"/>
    <e v="#N/A"/>
    <s v="need to confirm the expiry date"/>
    <s v="correction done"/>
    <s v="AYANA 364 TN 01 S1, ADANI TN 19 SG4, ADANI TN 19 SG1"/>
  </r>
  <r>
    <m/>
    <x v="80"/>
    <s v="Hempel Thinner 08450"/>
    <m/>
    <s v="L"/>
    <n v="20"/>
    <n v="5"/>
    <n v="100"/>
    <m/>
    <n v="0"/>
    <n v="100"/>
    <s v="done"/>
    <n v="75065061"/>
    <s v="Ayana "/>
    <n v="3"/>
    <d v="2025-06-03T00:00:00"/>
    <d v="2030-06-03T00:00:00"/>
    <d v="2025-07-30T00:00:00"/>
    <n v="1769"/>
    <x v="1"/>
    <s v="Not Expire"/>
    <x v="0"/>
    <s v="DFIPL Purchase"/>
    <m/>
    <m/>
    <m/>
  </r>
  <r>
    <m/>
    <x v="82"/>
    <s v="Hempel Thinner 08080"/>
    <m/>
    <s v="L"/>
    <n v="20"/>
    <n v="4"/>
    <n v="80"/>
    <m/>
    <n v="0"/>
    <n v="80"/>
    <s v="done"/>
    <n v="75065063"/>
    <s v="Ayana "/>
    <n v="3"/>
    <d v="2025-06-05T00:00:00"/>
    <d v="2030-06-05T00:00:00"/>
    <d v="2025-07-30T00:00:00"/>
    <n v="1771"/>
    <x v="1"/>
    <s v="Not Expire"/>
    <x v="0"/>
    <s v="DFIPL Purchase"/>
    <m/>
    <m/>
    <s v="AYANA 364 TN 1 S5"/>
  </r>
  <r>
    <m/>
    <x v="83"/>
    <s v="Hempathane HS 55619 RAL 2009 "/>
    <s v="A "/>
    <s v="L"/>
    <n v="17.5"/>
    <n v="1"/>
    <n v="17.5"/>
    <m/>
    <n v="0"/>
    <n v="17.5"/>
    <s v="done"/>
    <n v="75045329"/>
    <s v="Ayana "/>
    <n v="3"/>
    <d v="2025-04-21T00:00:00"/>
    <d v="2027-04-21T00:00:00"/>
    <d v="2025-07-30T00:00:00"/>
    <n v="630"/>
    <x v="1"/>
    <s v="Not Expire"/>
    <x v="0"/>
    <s v="DFIPL Purchase"/>
    <m/>
    <m/>
    <s v="AYANA 364 TN 1 S5"/>
  </r>
  <r>
    <m/>
    <x v="84"/>
    <s v="Hempel Curing Agent 97050"/>
    <s v="B"/>
    <s v="L"/>
    <n v="2.5"/>
    <n v="1"/>
    <n v="2.5"/>
    <m/>
    <n v="0"/>
    <n v="2.5"/>
    <s v="done"/>
    <n v="75045249"/>
    <s v="Ayana "/>
    <n v="3"/>
    <d v="2025-05-02T00:00:00"/>
    <d v="2026-09-02T00:00:00"/>
    <d v="2025-07-30T00:00:00"/>
    <n v="399"/>
    <x v="1"/>
    <s v="Not Expire"/>
    <x v="0"/>
    <s v="DFIPL Purchase"/>
    <m/>
    <m/>
    <s v="AYANA 364 TN 1 S5"/>
  </r>
  <r>
    <m/>
    <x v="0"/>
    <s v="Barrier 80 X Comp A"/>
    <s v="A"/>
    <s v="L"/>
    <n v="9"/>
    <n v="1"/>
    <n v="9"/>
    <n v="1"/>
    <n v="9"/>
    <n v="0"/>
    <s v="done"/>
    <n v="3802586"/>
    <s v="COMMON USE"/>
    <n v="4"/>
    <d v="2025-01-18T00:00:00"/>
    <d v="2026-01-18T00:00:00"/>
    <d v="2025-07-30T00:00:00"/>
    <n v="172"/>
    <x v="1"/>
    <s v="Not Expire"/>
    <x v="0"/>
    <s v="DFIPL Purchase"/>
    <m/>
    <m/>
    <s v="WELSPUN TN 6 S3, WELSPUN TN 7 S4 DT. 28.07.2025"/>
  </r>
  <r>
    <m/>
    <x v="85"/>
    <s v="Hempathane HS 55610 RAL 7035"/>
    <s v="A"/>
    <s v="L"/>
    <n v="17.5"/>
    <n v="12"/>
    <n v="210"/>
    <m/>
    <n v="0"/>
    <n v="210"/>
    <s v="Newly added"/>
    <n v="605040253"/>
    <s v="Ayana "/>
    <n v="3"/>
    <d v="2025-04-23T00:00:00"/>
    <d v="2027-04-23T00:00:00"/>
    <d v="2025-07-30T00:00:00"/>
    <n v="632"/>
    <x v="1"/>
    <s v="Not Expire"/>
    <x v="2"/>
    <e v="#N/A"/>
    <m/>
    <m/>
    <m/>
  </r>
  <r>
    <m/>
    <x v="86"/>
    <s v="Hempel Curing Agent 97050"/>
    <s v="B"/>
    <s v="L"/>
    <n v="2.5"/>
    <n v="12"/>
    <n v="30"/>
    <m/>
    <n v="0"/>
    <n v="30"/>
    <s v="Newly added"/>
    <n v="75055100"/>
    <s v="Ayana "/>
    <n v="3"/>
    <d v="2025-05-12T00:00:00"/>
    <d v="2026-09-12T00:00:00"/>
    <d v="2025-07-30T00:00:00"/>
    <n v="409"/>
    <x v="1"/>
    <s v="Not Expire"/>
    <x v="2"/>
    <e v="#N/A"/>
    <m/>
    <m/>
    <m/>
  </r>
  <r>
    <m/>
    <x v="87"/>
    <s v="Hempadur Avantguard 750"/>
    <s v="A"/>
    <s v="L"/>
    <n v="8.5"/>
    <n v="12"/>
    <n v="102"/>
    <m/>
    <n v="0"/>
    <n v="102"/>
    <s v="done"/>
    <n v="605010289"/>
    <s v="Adani"/>
    <n v="1"/>
    <d v="2025-01-16T00:00:00"/>
    <d v="2026-01-16T00:00:00"/>
    <d v="2025-07-30T00:00:00"/>
    <n v="170"/>
    <x v="1"/>
    <s v="Not Expire"/>
    <x v="1"/>
    <e v="#N/A"/>
    <m/>
    <m/>
    <s v="ADANI TN 19 SG4"/>
  </r>
  <r>
    <m/>
    <x v="88"/>
    <s v="Hardtop XP B 9005"/>
    <s v="B"/>
    <s v="L"/>
    <n v="1.8"/>
    <n v="1"/>
    <n v="1.8"/>
    <m/>
    <n v="0"/>
    <n v="1.8"/>
    <s v="done"/>
    <n v="3019219"/>
    <s v="Ayana "/>
    <n v="4"/>
    <d v="2022-12-28T00:00:00"/>
    <d v="2026-12-27T00:00:00"/>
    <d v="2025-07-30T00:00:00"/>
    <n v="515"/>
    <x v="1"/>
    <s v="Not Expire"/>
    <x v="0"/>
    <s v="DFIPL Purchase"/>
    <m/>
    <m/>
    <m/>
  </r>
  <r>
    <m/>
    <x v="89"/>
    <s v="Hardtop XP, Comp B"/>
    <s v="B"/>
    <s v="L"/>
    <n v="1.8"/>
    <n v="2"/>
    <n v="3.6"/>
    <m/>
    <n v="0"/>
    <n v="3.6"/>
    <s v="done"/>
    <n v="3593644"/>
    <s v="Ayana "/>
    <n v="4"/>
    <d v="2024-07-29T00:00:00"/>
    <d v="2026-07-28T00:00:00"/>
    <d v="2025-07-30T00:00:00"/>
    <n v="363"/>
    <x v="1"/>
    <s v="Not Expire"/>
    <x v="0"/>
    <s v="DFIPL Purchase"/>
    <m/>
    <m/>
    <m/>
  </r>
  <r>
    <m/>
    <x v="5"/>
    <s v="Penguard Exp CF 1013 Com A"/>
    <s v="A"/>
    <s v="L"/>
    <n v="16"/>
    <n v="1"/>
    <n v="16"/>
    <m/>
    <n v="0"/>
    <n v="16"/>
    <s v="done"/>
    <n v="3791457"/>
    <s v="SGRE"/>
    <n v="2"/>
    <d v="2025-01-09T00:00:00"/>
    <d v="2029-01-08T00:00:00"/>
    <d v="2025-07-30T00:00:00"/>
    <n v="1258"/>
    <x v="1"/>
    <s v="Not Expire"/>
    <x v="0"/>
    <s v="DFIPL Purchase"/>
    <m/>
    <m/>
    <m/>
  </r>
  <r>
    <m/>
    <x v="2"/>
    <s v="Barrier 80 S Gray B"/>
    <s v="B"/>
    <s v="L"/>
    <n v="1.25"/>
    <n v="19"/>
    <n v="23.75"/>
    <m/>
    <n v="0"/>
    <n v="23.75"/>
    <s v="done"/>
    <n v="3794316"/>
    <s v="Welspun"/>
    <n v="3"/>
    <d v="2025-01-11T00:00:00"/>
    <d v="2027-01-11T00:00:00"/>
    <d v="2025-07-30T00:00:00"/>
    <n v="530"/>
    <x v="1"/>
    <s v="Not Expire"/>
    <x v="0"/>
    <s v="DFIPL Purchase"/>
    <m/>
    <m/>
    <m/>
  </r>
  <r>
    <m/>
    <x v="88"/>
    <s v="Hardtop XP B 9005"/>
    <s v="B"/>
    <s v="L"/>
    <n v="1.8"/>
    <n v="1"/>
    <n v="1.8"/>
    <m/>
    <n v="0"/>
    <n v="1.8"/>
    <s v="done"/>
    <n v="3896596"/>
    <s v="ACME 2.O"/>
    <n v="1"/>
    <d v="2025-04-23T00:00:00"/>
    <d v="2029-04-22T00:00:00"/>
    <d v="2025-07-30T00:00:00"/>
    <n v="1362"/>
    <x v="1"/>
    <s v="Not Expire"/>
    <x v="0"/>
    <s v="DFIPL Purchase"/>
    <m/>
    <m/>
    <m/>
  </r>
  <r>
    <m/>
    <x v="40"/>
    <s v="Hardtop XP B 5015"/>
    <s v="B"/>
    <s v="L"/>
    <n v="1.8"/>
    <n v="1"/>
    <n v="1.8"/>
    <m/>
    <n v="0"/>
    <n v="1.8"/>
    <s v="done"/>
    <n v="3896596"/>
    <s v="ACME 2.O"/>
    <n v="1"/>
    <d v="2025-04-23T00:00:00"/>
    <d v="2029-04-22T00:00:00"/>
    <d v="2025-07-30T00:00:00"/>
    <n v="1362"/>
    <x v="1"/>
    <s v="Not Expire"/>
    <x v="0"/>
    <s v="DFIPL Purchase"/>
    <m/>
    <m/>
    <m/>
  </r>
  <r>
    <m/>
    <x v="90"/>
    <s v="Hardtop XP B 3028"/>
    <s v="B"/>
    <s v="L"/>
    <n v="1.8"/>
    <n v="1"/>
    <n v="1.8"/>
    <m/>
    <n v="0"/>
    <n v="1.8"/>
    <s v="done"/>
    <n v="3896596"/>
    <s v="ACME 2.O"/>
    <n v="1"/>
    <d v="2025-04-23T00:00:00"/>
    <d v="2029-04-22T00:00:00"/>
    <d v="2025-07-30T00:00:00"/>
    <n v="1362"/>
    <x v="1"/>
    <s v="Not Expire"/>
    <x v="0"/>
    <s v="DFIPL Purchase"/>
    <m/>
    <m/>
    <m/>
  </r>
  <r>
    <m/>
    <x v="0"/>
    <s v="Barrier 80s Grey"/>
    <s v="A"/>
    <s v="L"/>
    <n v="7.5"/>
    <n v="19"/>
    <n v="142.5"/>
    <m/>
    <n v="0"/>
    <n v="142.5"/>
    <s v="done"/>
    <n v="3936078"/>
    <s v="Welspun"/>
    <n v="3"/>
    <d v="2025-05-30T00:00:00"/>
    <d v="2027-05-20T00:00:00"/>
    <d v="2025-07-30T00:00:00"/>
    <n v="659"/>
    <x v="1"/>
    <s v="Not Expire"/>
    <x v="0"/>
    <s v="DFIPL Purchase"/>
    <m/>
    <m/>
    <m/>
  </r>
  <r>
    <m/>
    <x v="91"/>
    <s v="Hardtop Part B Blue"/>
    <s v="B"/>
    <s v="L"/>
    <n v="1.8"/>
    <n v="1"/>
    <n v="1.8"/>
    <m/>
    <n v="0"/>
    <n v="1.8"/>
    <s v="done"/>
    <n v="3937843"/>
    <s v="ACME 2.O"/>
    <n v="1"/>
    <d v="2025-05-30T00:00:00"/>
    <d v="2029-05-29T00:00:00"/>
    <d v="2025-07-30T00:00:00"/>
    <n v="1399"/>
    <x v="1"/>
    <s v="Not Expire"/>
    <x v="0"/>
    <s v="DFIPL Purchase"/>
    <m/>
    <m/>
    <m/>
  </r>
  <r>
    <m/>
    <x v="92"/>
    <s v="Hardtop WT8 7035 B"/>
    <s v="B"/>
    <s v="L"/>
    <n v="0.83"/>
    <n v="4"/>
    <n v="3.32"/>
    <m/>
    <n v="0"/>
    <n v="3.32"/>
    <s v="done"/>
    <n v="3221566"/>
    <s v="Renew"/>
    <n v="2"/>
    <d v="2023-07-27T00:00:00"/>
    <d v="2027-07-26T00:00:00"/>
    <d v="2025-07-30T00:00:00"/>
    <n v="726"/>
    <x v="1"/>
    <s v="Not Expire"/>
    <x v="1"/>
    <m/>
    <m/>
    <m/>
    <m/>
  </r>
  <r>
    <m/>
    <x v="93"/>
    <m/>
    <m/>
    <m/>
    <m/>
    <m/>
    <m/>
    <m/>
    <m/>
    <m/>
    <m/>
    <m/>
    <m/>
    <m/>
    <m/>
    <m/>
    <m/>
    <m/>
    <x v="2"/>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E6B0F5-0D35-4AD7-AF92-8896D9B6D59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60" firstHeaderRow="1" firstDataRow="1" firstDataCol="1" rowPageCount="2" colPageCount="1"/>
  <pivotFields count="26">
    <pivotField showAll="0"/>
    <pivotField axis="axisRow" showAll="0">
      <items count="98">
        <item x="17"/>
        <item x="56"/>
        <item x="40"/>
        <item x="60"/>
        <item x="59"/>
        <item x="35"/>
        <item x="13"/>
        <item x="54"/>
        <item x="62"/>
        <item x="61"/>
        <item x="18"/>
        <item x="29"/>
        <item x="21"/>
        <item x="69"/>
        <item x="71"/>
        <item x="55"/>
        <item x="79"/>
        <item x="74"/>
        <item x="39"/>
        <item x="31"/>
        <item x="75"/>
        <item x="45"/>
        <item x="34"/>
        <item x="73"/>
        <item x="77"/>
        <item x="78"/>
        <item x="70"/>
        <item x="67"/>
        <item x="33"/>
        <item x="30"/>
        <item x="43"/>
        <item x="36"/>
        <item x="37"/>
        <item x="46"/>
        <item x="38"/>
        <item x="26"/>
        <item x="27"/>
        <item x="32"/>
        <item x="28"/>
        <item x="14"/>
        <item x="22"/>
        <item x="41"/>
        <item x="19"/>
        <item x="10"/>
        <item x="7"/>
        <item x="9"/>
        <item x="8"/>
        <item x="12"/>
        <item m="1" x="96"/>
        <item x="51"/>
        <item x="15"/>
        <item x="1"/>
        <item x="16"/>
        <item x="68"/>
        <item x="0"/>
        <item x="2"/>
        <item x="5"/>
        <item x="11"/>
        <item x="49"/>
        <item x="53"/>
        <item x="24"/>
        <item x="25"/>
        <item x="23"/>
        <item x="4"/>
        <item x="6"/>
        <item x="20"/>
        <item x="52"/>
        <item x="64"/>
        <item x="63"/>
        <item x="72"/>
        <item x="47"/>
        <item x="48"/>
        <item x="57"/>
        <item x="50"/>
        <item x="44"/>
        <item x="42"/>
        <item x="81"/>
        <item x="58"/>
        <item x="80"/>
        <item x="3"/>
        <item x="65"/>
        <item x="66"/>
        <item x="82"/>
        <item x="83"/>
        <item x="84"/>
        <item m="1" x="94"/>
        <item x="87"/>
        <item x="88"/>
        <item x="89"/>
        <item x="90"/>
        <item x="91"/>
        <item x="92"/>
        <item x="93"/>
        <item x="76"/>
        <item m="1" x="95"/>
        <item x="85"/>
        <item x="8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pivotField numFmtId="4" showAll="0"/>
    <pivotField axis="axisPage" multipleItemSelectionAllowed="1" showAll="0">
      <items count="4">
        <item h="1" x="0"/>
        <item x="1"/>
        <item h="1" x="2"/>
        <item t="default"/>
      </items>
    </pivotField>
    <pivotField showAll="0"/>
    <pivotField axis="axisPage" multipleItemSelectionAllowed="1" showAll="0">
      <items count="5">
        <item h="1" x="1"/>
        <item x="0"/>
        <item x="2"/>
        <item h="1" x="3"/>
        <item t="default"/>
      </items>
    </pivotField>
    <pivotField showAll="0"/>
    <pivotField showAll="0"/>
    <pivotField showAll="0"/>
    <pivotField showAll="0"/>
  </pivotFields>
  <rowFields count="1">
    <field x="1"/>
  </rowFields>
  <rowItems count="56">
    <i>
      <x/>
    </i>
    <i>
      <x v="1"/>
    </i>
    <i>
      <x v="2"/>
    </i>
    <i>
      <x v="3"/>
    </i>
    <i>
      <x v="4"/>
    </i>
    <i>
      <x v="5"/>
    </i>
    <i>
      <x v="8"/>
    </i>
    <i>
      <x v="9"/>
    </i>
    <i>
      <x v="10"/>
    </i>
    <i>
      <x v="11"/>
    </i>
    <i>
      <x v="16"/>
    </i>
    <i>
      <x v="17"/>
    </i>
    <i>
      <x v="18"/>
    </i>
    <i>
      <x v="19"/>
    </i>
    <i>
      <x v="20"/>
    </i>
    <i>
      <x v="21"/>
    </i>
    <i>
      <x v="22"/>
    </i>
    <i>
      <x v="23"/>
    </i>
    <i>
      <x v="24"/>
    </i>
    <i>
      <x v="25"/>
    </i>
    <i>
      <x v="35"/>
    </i>
    <i>
      <x v="36"/>
    </i>
    <i>
      <x v="37"/>
    </i>
    <i>
      <x v="38"/>
    </i>
    <i>
      <x v="49"/>
    </i>
    <i>
      <x v="50"/>
    </i>
    <i>
      <x v="51"/>
    </i>
    <i>
      <x v="53"/>
    </i>
    <i>
      <x v="54"/>
    </i>
    <i>
      <x v="55"/>
    </i>
    <i>
      <x v="56"/>
    </i>
    <i>
      <x v="57"/>
    </i>
    <i>
      <x v="58"/>
    </i>
    <i>
      <x v="59"/>
    </i>
    <i>
      <x v="63"/>
    </i>
    <i>
      <x v="64"/>
    </i>
    <i>
      <x v="65"/>
    </i>
    <i>
      <x v="66"/>
    </i>
    <i>
      <x v="70"/>
    </i>
    <i>
      <x v="71"/>
    </i>
    <i>
      <x v="72"/>
    </i>
    <i>
      <x v="73"/>
    </i>
    <i>
      <x v="74"/>
    </i>
    <i>
      <x v="75"/>
    </i>
    <i>
      <x v="78"/>
    </i>
    <i>
      <x v="82"/>
    </i>
    <i>
      <x v="83"/>
    </i>
    <i>
      <x v="84"/>
    </i>
    <i>
      <x v="87"/>
    </i>
    <i>
      <x v="88"/>
    </i>
    <i>
      <x v="89"/>
    </i>
    <i>
      <x v="90"/>
    </i>
    <i>
      <x v="93"/>
    </i>
    <i>
      <x v="95"/>
    </i>
    <i>
      <x v="96"/>
    </i>
    <i t="grand">
      <x/>
    </i>
  </rowItems>
  <colItems count="1">
    <i/>
  </colItems>
  <pageFields count="2">
    <pageField fld="21" hier="-1"/>
    <pageField fld="19" hier="-1"/>
  </pageFields>
  <dataFields count="1">
    <dataField name="Sum of Balance Qty" fld="10" baseField="0" baseItem="0"/>
  </dataFields>
  <formats count="26">
    <format dxfId="65">
      <pivotArea field="1" type="button" dataOnly="0" labelOnly="1" outline="0" axis="axisRow" fieldPosition="0"/>
    </format>
    <format dxfId="64">
      <pivotArea dataOnly="0" labelOnly="1" outline="0" axis="axisValues" fieldPosition="0"/>
    </format>
    <format dxfId="63">
      <pivotArea collapsedLevelsAreSubtotals="1" fieldPosition="0">
        <references count="1">
          <reference field="1" count="1">
            <x v="5"/>
          </reference>
        </references>
      </pivotArea>
    </format>
    <format dxfId="62">
      <pivotArea dataOnly="0" labelOnly="1" fieldPosition="0">
        <references count="1">
          <reference field="1" count="1">
            <x v="5"/>
          </reference>
        </references>
      </pivotArea>
    </format>
    <format dxfId="61">
      <pivotArea collapsedLevelsAreSubtotals="1" fieldPosition="0">
        <references count="1">
          <reference field="1" count="2">
            <x v="10"/>
            <x v="11"/>
          </reference>
        </references>
      </pivotArea>
    </format>
    <format dxfId="60">
      <pivotArea dataOnly="0" labelOnly="1" fieldPosition="0">
        <references count="1">
          <reference field="1" count="2">
            <x v="10"/>
            <x v="11"/>
          </reference>
        </references>
      </pivotArea>
    </format>
    <format dxfId="59">
      <pivotArea collapsedLevelsAreSubtotals="1" fieldPosition="0">
        <references count="1">
          <reference field="1" count="7">
            <x v="17"/>
            <x v="18"/>
            <x v="19"/>
            <x v="20"/>
            <x v="21"/>
            <x v="22"/>
            <x v="23"/>
          </reference>
        </references>
      </pivotArea>
    </format>
    <format dxfId="58">
      <pivotArea dataOnly="0" labelOnly="1" fieldPosition="0">
        <references count="1">
          <reference field="1" count="7">
            <x v="17"/>
            <x v="18"/>
            <x v="19"/>
            <x v="20"/>
            <x v="21"/>
            <x v="22"/>
            <x v="23"/>
          </reference>
        </references>
      </pivotArea>
    </format>
    <format dxfId="57">
      <pivotArea collapsedLevelsAreSubtotals="1" fieldPosition="0">
        <references count="1">
          <reference field="1" count="4">
            <x v="35"/>
            <x v="36"/>
            <x v="37"/>
            <x v="38"/>
          </reference>
        </references>
      </pivotArea>
    </format>
    <format dxfId="56">
      <pivotArea dataOnly="0" labelOnly="1" fieldPosition="0">
        <references count="1">
          <reference field="1" count="4">
            <x v="35"/>
            <x v="36"/>
            <x v="37"/>
            <x v="38"/>
          </reference>
        </references>
      </pivotArea>
    </format>
    <format dxfId="55">
      <pivotArea collapsedLevelsAreSubtotals="1" fieldPosition="0">
        <references count="1">
          <reference field="1" count="6">
            <x v="50"/>
            <x v="51"/>
            <x v="53"/>
            <x v="54"/>
            <x v="55"/>
            <x v="56"/>
          </reference>
        </references>
      </pivotArea>
    </format>
    <format dxfId="54">
      <pivotArea dataOnly="0" labelOnly="1" fieldPosition="0">
        <references count="1">
          <reference field="1" count="6">
            <x v="50"/>
            <x v="51"/>
            <x v="53"/>
            <x v="54"/>
            <x v="55"/>
            <x v="56"/>
          </reference>
        </references>
      </pivotArea>
    </format>
    <format dxfId="53">
      <pivotArea collapsedLevelsAreSubtotals="1" fieldPosition="0">
        <references count="1">
          <reference field="1" count="3">
            <x v="58"/>
            <x v="59"/>
            <x v="63"/>
          </reference>
        </references>
      </pivotArea>
    </format>
    <format dxfId="52">
      <pivotArea dataOnly="0" labelOnly="1" fieldPosition="0">
        <references count="1">
          <reference field="1" count="3">
            <x v="58"/>
            <x v="59"/>
            <x v="63"/>
          </reference>
        </references>
      </pivotArea>
    </format>
    <format dxfId="51">
      <pivotArea collapsedLevelsAreSubtotals="1" fieldPosition="0">
        <references count="1">
          <reference field="1" count="1">
            <x v="70"/>
          </reference>
        </references>
      </pivotArea>
    </format>
    <format dxfId="50">
      <pivotArea dataOnly="0" labelOnly="1" fieldPosition="0">
        <references count="1">
          <reference field="1" count="1">
            <x v="70"/>
          </reference>
        </references>
      </pivotArea>
    </format>
    <format dxfId="49">
      <pivotArea collapsedLevelsAreSubtotals="1" fieldPosition="0">
        <references count="1">
          <reference field="1" count="1">
            <x v="72"/>
          </reference>
        </references>
      </pivotArea>
    </format>
    <format dxfId="48">
      <pivotArea dataOnly="0" labelOnly="1" fieldPosition="0">
        <references count="1">
          <reference field="1" count="1">
            <x v="72"/>
          </reference>
        </references>
      </pivotArea>
    </format>
    <format dxfId="47">
      <pivotArea collapsedLevelsAreSubtotals="1" fieldPosition="0">
        <references count="1">
          <reference field="1" count="1">
            <x v="74"/>
          </reference>
        </references>
      </pivotArea>
    </format>
    <format dxfId="46">
      <pivotArea dataOnly="0" labelOnly="1" fieldPosition="0">
        <references count="1">
          <reference field="1" count="1">
            <x v="74"/>
          </reference>
        </references>
      </pivotArea>
    </format>
    <format dxfId="45">
      <pivotArea collapsedLevelsAreSubtotals="1" fieldPosition="0">
        <references count="1">
          <reference field="1" count="2">
            <x v="78"/>
            <x v="82"/>
          </reference>
        </references>
      </pivotArea>
    </format>
    <format dxfId="44">
      <pivotArea dataOnly="0" labelOnly="1" fieldPosition="0">
        <references count="1">
          <reference field="1" count="2">
            <x v="78"/>
            <x v="82"/>
          </reference>
        </references>
      </pivotArea>
    </format>
    <format dxfId="43">
      <pivotArea collapsedLevelsAreSubtotals="1" fieldPosition="0">
        <references count="1">
          <reference field="1" count="2">
            <x v="87"/>
            <x v="88"/>
          </reference>
        </references>
      </pivotArea>
    </format>
    <format dxfId="42">
      <pivotArea dataOnly="0" labelOnly="1" fieldPosition="0">
        <references count="1">
          <reference field="1" count="2">
            <x v="87"/>
            <x v="88"/>
          </reference>
        </references>
      </pivotArea>
    </format>
    <format dxfId="41">
      <pivotArea collapsedLevelsAreSubtotals="1" fieldPosition="0">
        <references count="1">
          <reference field="1" count="1">
            <x v="93"/>
          </reference>
        </references>
      </pivotArea>
    </format>
    <format dxfId="40">
      <pivotArea dataOnly="0" labelOnly="1" fieldPosition="0">
        <references count="1">
          <reference field="1" count="1">
            <x v="9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5D5F6-BE9B-4E04-B980-72A9D0F29A3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33" firstHeaderRow="0" firstDataRow="1" firstDataCol="3"/>
  <pivotFields count="26">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3">
        <item x="8"/>
        <item x="6"/>
        <item x="0"/>
        <item x="7"/>
        <item x="4"/>
        <item x="5"/>
        <item x="1"/>
        <item x="3"/>
        <item x="9"/>
        <item x="11"/>
        <item x="2"/>
        <item x="1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14" outline="0" subtotalTop="0" showAll="0">
      <extLst>
        <ext xmlns:x14="http://schemas.microsoft.com/office/spreadsheetml/2009/9/main" uri="{2946ED86-A175-432a-8AC1-64E0C546D7DE}">
          <x14:pivotField fillDownLabels="1"/>
        </ext>
      </extLst>
    </pivotField>
    <pivotField compact="0" numFmtId="4" outline="0" subtotalTop="0" showAll="0">
      <extLst>
        <ext xmlns:x14="http://schemas.microsoft.com/office/spreadsheetml/2009/9/main" uri="{2946ED86-A175-432a-8AC1-64E0C546D7DE}">
          <x14:pivotField fillDownLabels="1"/>
        </ext>
      </extLst>
    </pivotField>
    <pivotField axis="axisRow" compact="0" outline="0" subtotalTop="0" showAll="0">
      <items count="4">
        <item x="0"/>
        <item x="1"/>
        <item x="2"/>
        <item t="default"/>
      </items>
      <extLst>
        <ext xmlns:x14="http://schemas.microsoft.com/office/spreadsheetml/2009/9/main" uri="{2946ED86-A175-432a-8AC1-64E0C546D7DE}">
          <x14:pivotField fillDownLabels="1"/>
        </ext>
      </extLst>
    </pivotField>
    <pivotField axis="axisRow" compact="0" outline="0" subtotalTop="0" showAll="0">
      <items count="6">
        <item x="0"/>
        <item x="1"/>
        <item x="3"/>
        <item x="2"/>
        <item x="4"/>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3">
    <field x="19"/>
    <field x="20"/>
    <field x="13"/>
  </rowFields>
  <rowItems count="30">
    <i>
      <x/>
      <x/>
      <x v="1"/>
    </i>
    <i r="2">
      <x v="2"/>
    </i>
    <i r="2">
      <x v="4"/>
    </i>
    <i r="2">
      <x v="5"/>
    </i>
    <i r="2">
      <x v="6"/>
    </i>
    <i r="2">
      <x v="7"/>
    </i>
    <i r="2">
      <x v="10"/>
    </i>
    <i t="default" r="1">
      <x/>
    </i>
    <i r="1">
      <x v="1"/>
      <x v="4"/>
    </i>
    <i r="2">
      <x v="6"/>
    </i>
    <i t="default" r="1">
      <x v="1"/>
    </i>
    <i t="default">
      <x/>
    </i>
    <i>
      <x v="1"/>
      <x v="2"/>
      <x v="2"/>
    </i>
    <i r="2">
      <x v="6"/>
    </i>
    <i t="default" r="1">
      <x v="2"/>
    </i>
    <i r="1">
      <x v="3"/>
      <x/>
    </i>
    <i r="2">
      <x v="1"/>
    </i>
    <i r="2">
      <x v="2"/>
    </i>
    <i r="2">
      <x v="3"/>
    </i>
    <i r="2">
      <x v="4"/>
    </i>
    <i r="2">
      <x v="6"/>
    </i>
    <i r="2">
      <x v="8"/>
    </i>
    <i r="2">
      <x v="10"/>
    </i>
    <i r="2">
      <x v="11"/>
    </i>
    <i t="default" r="1">
      <x v="3"/>
    </i>
    <i t="default">
      <x v="1"/>
    </i>
    <i>
      <x v="2"/>
      <x v="4"/>
      <x v="9"/>
    </i>
    <i t="default" r="1">
      <x v="4"/>
    </i>
    <i t="default">
      <x v="2"/>
    </i>
    <i t="grand">
      <x/>
    </i>
  </rowItems>
  <colFields count="1">
    <field x="-2"/>
  </colFields>
  <colItems count="2">
    <i>
      <x/>
    </i>
    <i i="1">
      <x v="1"/>
    </i>
  </colItems>
  <dataFields count="2">
    <dataField name="Sum of No. Of Tins" fld="6" baseField="0" baseItem="0"/>
    <dataField name="Sum of Total Ltr Qty" fld="7" baseField="0" baseItem="0" numFmtId="3"/>
  </dataFields>
  <formats count="40">
    <format dxfId="39">
      <pivotArea outline="0"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7">
      <pivotArea type="all" dataOnly="0" outline="0" fieldPosition="0"/>
    </format>
    <format dxfId="36">
      <pivotArea outline="0" collapsedLevelsAreSubtotals="1" fieldPosition="0"/>
    </format>
    <format dxfId="35">
      <pivotArea field="19" type="button" dataOnly="0" labelOnly="1" outline="0" axis="axisRow" fieldPosition="0"/>
    </format>
    <format dxfId="34">
      <pivotArea field="20" type="button" dataOnly="0" labelOnly="1" outline="0" axis="axisRow" fieldPosition="1"/>
    </format>
    <format dxfId="33">
      <pivotArea field="13" type="button" dataOnly="0" labelOnly="1" outline="0" axis="axisRow" fieldPosition="2"/>
    </format>
    <format dxfId="32">
      <pivotArea dataOnly="0" labelOnly="1" outline="0" fieldPosition="0">
        <references count="1">
          <reference field="19" count="0"/>
        </references>
      </pivotArea>
    </format>
    <format dxfId="31">
      <pivotArea dataOnly="0" labelOnly="1" outline="0" fieldPosition="0">
        <references count="1">
          <reference field="19" count="0" defaultSubtotal="1"/>
        </references>
      </pivotArea>
    </format>
    <format dxfId="30">
      <pivotArea dataOnly="0" labelOnly="1" grandRow="1" outline="0" fieldPosition="0"/>
    </format>
    <format dxfId="29">
      <pivotArea dataOnly="0" labelOnly="1" outline="0" fieldPosition="0">
        <references count="2">
          <reference field="19" count="1" selected="0">
            <x v="0"/>
          </reference>
          <reference field="20" count="2">
            <x v="0"/>
            <x v="1"/>
          </reference>
        </references>
      </pivotArea>
    </format>
    <format dxfId="28">
      <pivotArea dataOnly="0" labelOnly="1" outline="0" fieldPosition="0">
        <references count="2">
          <reference field="19" count="1" selected="0">
            <x v="0"/>
          </reference>
          <reference field="20" count="2" defaultSubtotal="1">
            <x v="0"/>
            <x v="1"/>
          </reference>
        </references>
      </pivotArea>
    </format>
    <format dxfId="27">
      <pivotArea dataOnly="0" labelOnly="1" outline="0" fieldPosition="0">
        <references count="2">
          <reference field="19" count="1" selected="0">
            <x v="1"/>
          </reference>
          <reference field="20" count="2">
            <x v="2"/>
            <x v="3"/>
          </reference>
        </references>
      </pivotArea>
    </format>
    <format dxfId="26">
      <pivotArea dataOnly="0" labelOnly="1" outline="0" fieldPosition="0">
        <references count="2">
          <reference field="19" count="1" selected="0">
            <x v="1"/>
          </reference>
          <reference field="20" count="2" defaultSubtotal="1">
            <x v="2"/>
            <x v="3"/>
          </reference>
        </references>
      </pivotArea>
    </format>
    <format dxfId="25">
      <pivotArea dataOnly="0" labelOnly="1" outline="0" fieldPosition="0">
        <references count="3">
          <reference field="13" count="6">
            <x v="2"/>
            <x v="4"/>
            <x v="5"/>
            <x v="6"/>
            <x v="7"/>
            <x v="9"/>
          </reference>
          <reference field="19" count="1" selected="0">
            <x v="0"/>
          </reference>
          <reference field="20" count="1" selected="0">
            <x v="0"/>
          </reference>
        </references>
      </pivotArea>
    </format>
    <format dxfId="24">
      <pivotArea dataOnly="0" labelOnly="1" outline="0" fieldPosition="0">
        <references count="3">
          <reference field="13" count="2">
            <x v="4"/>
            <x v="6"/>
          </reference>
          <reference field="19" count="1" selected="0">
            <x v="0"/>
          </reference>
          <reference field="20" count="1" selected="0">
            <x v="1"/>
          </reference>
        </references>
      </pivotArea>
    </format>
    <format dxfId="23">
      <pivotArea dataOnly="0" labelOnly="1" outline="0" fieldPosition="0">
        <references count="3">
          <reference field="13" count="3">
            <x v="2"/>
            <x v="4"/>
            <x v="6"/>
          </reference>
          <reference field="19" count="1" selected="0">
            <x v="1"/>
          </reference>
          <reference field="20" count="1" selected="0">
            <x v="2"/>
          </reference>
        </references>
      </pivotArea>
    </format>
    <format dxfId="22">
      <pivotArea dataOnly="0" labelOnly="1" outline="0" fieldPosition="0">
        <references count="3">
          <reference field="13" count="8">
            <x v="0"/>
            <x v="1"/>
            <x v="2"/>
            <x v="3"/>
            <x v="4"/>
            <x v="6"/>
            <x v="8"/>
            <x v="9"/>
          </reference>
          <reference field="19" count="1" selected="0">
            <x v="1"/>
          </reference>
          <reference field="20" count="1" selected="0">
            <x v="3"/>
          </reference>
        </references>
      </pivotArea>
    </format>
    <format dxfId="21">
      <pivotArea dataOnly="0" labelOnly="1" outline="0" fieldPosition="0">
        <references count="1">
          <reference field="4294967294" count="2">
            <x v="0"/>
            <x v="1"/>
          </reference>
        </references>
      </pivotArea>
    </format>
    <format dxfId="20">
      <pivotArea outline="0" fieldPosition="0">
        <references count="1">
          <reference field="19" count="1" selected="0" defaultSubtotal="1">
            <x v="0"/>
          </reference>
        </references>
      </pivotArea>
    </format>
    <format dxfId="19">
      <pivotArea dataOnly="0" labelOnly="1" outline="0" fieldPosition="0">
        <references count="1">
          <reference field="19" count="1" defaultSubtotal="1">
            <x v="0"/>
          </reference>
        </references>
      </pivotArea>
    </format>
    <format dxfId="18">
      <pivotArea outline="0" fieldPosition="0">
        <references count="1">
          <reference field="19" count="1" selected="0" defaultSubtotal="1">
            <x v="1"/>
          </reference>
        </references>
      </pivotArea>
    </format>
    <format dxfId="17">
      <pivotArea dataOnly="0" labelOnly="1" outline="0" fieldPosition="0">
        <references count="1">
          <reference field="19" count="1" defaultSubtotal="1">
            <x v="1"/>
          </reference>
        </references>
      </pivotArea>
    </format>
    <format dxfId="16">
      <pivotArea outline="0" collapsedLevelsAreSubtotals="1" fieldPosition="0"/>
    </format>
    <format dxfId="15">
      <pivotArea dataOnly="0" labelOnly="1" outline="0" fieldPosition="0">
        <references count="1">
          <reference field="4294967294" count="2">
            <x v="0"/>
            <x v="1"/>
          </reference>
        </references>
      </pivotArea>
    </format>
    <format dxfId="14">
      <pivotArea outline="0" fieldPosition="0">
        <references count="3">
          <reference field="13" count="2" selected="0">
            <x v="7"/>
            <x v="10"/>
          </reference>
          <reference field="19" count="1" selected="0">
            <x v="0"/>
          </reference>
          <reference field="20" count="1" selected="0">
            <x v="0"/>
          </reference>
        </references>
      </pivotArea>
    </format>
    <format dxfId="13">
      <pivotArea outline="0" fieldPosition="0">
        <references count="2">
          <reference field="19" count="1" selected="0">
            <x v="0"/>
          </reference>
          <reference field="20" count="1" selected="0" defaultSubtotal="1">
            <x v="0"/>
          </reference>
        </references>
      </pivotArea>
    </format>
    <format dxfId="12">
      <pivotArea outline="0" fieldPosition="0">
        <references count="2">
          <reference field="19" count="1" selected="0">
            <x v="0"/>
          </reference>
          <reference field="20" count="1" selected="0" defaultSubtotal="1">
            <x v="1"/>
          </reference>
        </references>
      </pivotArea>
    </format>
    <format dxfId="11">
      <pivotArea dataOnly="0" labelOnly="1" outline="0" offset="IV6:IV256" fieldPosition="0">
        <references count="1">
          <reference field="19" count="1">
            <x v="0"/>
          </reference>
        </references>
      </pivotArea>
    </format>
    <format dxfId="10">
      <pivotArea dataOnly="0" labelOnly="1" outline="0" offset="IV6:IV256" fieldPosition="0">
        <references count="2">
          <reference field="19" count="1" selected="0">
            <x v="0"/>
          </reference>
          <reference field="20" count="1">
            <x v="0"/>
          </reference>
        </references>
      </pivotArea>
    </format>
    <format dxfId="9">
      <pivotArea dataOnly="0" labelOnly="1" outline="0" fieldPosition="0">
        <references count="2">
          <reference field="19" count="1" selected="0">
            <x v="0"/>
          </reference>
          <reference field="20" count="1">
            <x v="1"/>
          </reference>
        </references>
      </pivotArea>
    </format>
    <format dxfId="8">
      <pivotArea dataOnly="0" labelOnly="1" outline="0" fieldPosition="0">
        <references count="2">
          <reference field="19" count="1" selected="0">
            <x v="0"/>
          </reference>
          <reference field="20" count="2" defaultSubtotal="1">
            <x v="0"/>
            <x v="1"/>
          </reference>
        </references>
      </pivotArea>
    </format>
    <format dxfId="7">
      <pivotArea dataOnly="0" labelOnly="1" outline="0" fieldPosition="0">
        <references count="3">
          <reference field="13" count="2">
            <x v="7"/>
            <x v="10"/>
          </reference>
          <reference field="19" count="1" selected="0">
            <x v="0"/>
          </reference>
          <reference field="20" count="1" selected="0">
            <x v="0"/>
          </reference>
        </references>
      </pivotArea>
    </format>
    <format dxfId="6">
      <pivotArea dataOnly="0" labelOnly="1" outline="0" fieldPosition="0">
        <references count="3">
          <reference field="13" count="2">
            <x v="4"/>
            <x v="6"/>
          </reference>
          <reference field="19" count="1" selected="0">
            <x v="0"/>
          </reference>
          <reference field="20" count="1" selected="0">
            <x v="1"/>
          </reference>
        </references>
      </pivotArea>
    </format>
    <format dxfId="5">
      <pivotArea outline="0" fieldPosition="0">
        <references count="2">
          <reference field="19" count="1" selected="0">
            <x v="1"/>
          </reference>
          <reference field="20" count="2" selected="0" defaultSubtotal="1">
            <x v="2"/>
            <x v="3"/>
          </reference>
        </references>
      </pivotArea>
    </format>
    <format dxfId="4">
      <pivotArea dataOnly="0" labelOnly="1" outline="0" fieldPosition="0">
        <references count="1">
          <reference field="19" count="1">
            <x v="1"/>
          </reference>
        </references>
      </pivotArea>
    </format>
    <format dxfId="3">
      <pivotArea dataOnly="0" labelOnly="1" outline="0" fieldPosition="0">
        <references count="2">
          <reference field="19" count="1" selected="0">
            <x v="1"/>
          </reference>
          <reference field="20" count="2">
            <x v="2"/>
            <x v="3"/>
          </reference>
        </references>
      </pivotArea>
    </format>
    <format dxfId="2">
      <pivotArea dataOnly="0" labelOnly="1" outline="0" fieldPosition="0">
        <references count="2">
          <reference field="19" count="1" selected="0">
            <x v="1"/>
          </reference>
          <reference field="20" count="2" defaultSubtotal="1">
            <x v="2"/>
            <x v="3"/>
          </reference>
        </references>
      </pivotArea>
    </format>
    <format dxfId="1">
      <pivotArea dataOnly="0" labelOnly="1" outline="0" fieldPosition="0">
        <references count="3">
          <reference field="13" count="2">
            <x v="2"/>
            <x v="6"/>
          </reference>
          <reference field="19" count="1" selected="0">
            <x v="1"/>
          </reference>
          <reference field="20" count="1" selected="0">
            <x v="2"/>
          </reference>
        </references>
      </pivotArea>
    </format>
    <format dxfId="0">
      <pivotArea dataOnly="0" labelOnly="1" outline="0" fieldPosition="0">
        <references count="3">
          <reference field="13" count="9">
            <x v="0"/>
            <x v="1"/>
            <x v="2"/>
            <x v="3"/>
            <x v="4"/>
            <x v="6"/>
            <x v="8"/>
            <x v="10"/>
            <x v="11"/>
          </reference>
          <reference field="19" count="1" selected="0">
            <x v="1"/>
          </reference>
          <reference field="2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D8D5-93E5-44CC-A381-493D4F43D508}">
  <dimension ref="A1:I60"/>
  <sheetViews>
    <sheetView workbookViewId="0">
      <selection sqref="A1:C1048576"/>
    </sheetView>
  </sheetViews>
  <sheetFormatPr defaultRowHeight="14.4" x14ac:dyDescent="0.3"/>
  <cols>
    <col min="1" max="1" width="53.88671875" bestFit="1" customWidth="1"/>
    <col min="2" max="2" width="19.33203125" bestFit="1" customWidth="1"/>
    <col min="3" max="3" width="11.6640625" bestFit="1" customWidth="1"/>
    <col min="4" max="4" width="7.88671875" bestFit="1" customWidth="1"/>
    <col min="5" max="5" width="11.6640625" bestFit="1" customWidth="1"/>
    <col min="6" max="6" width="5.88671875" bestFit="1" customWidth="1"/>
    <col min="7" max="7" width="5.5546875" bestFit="1" customWidth="1"/>
    <col min="8" max="8" width="8.33203125" bestFit="1" customWidth="1"/>
    <col min="9" max="9" width="10.33203125" bestFit="1" customWidth="1"/>
  </cols>
  <sheetData>
    <row r="1" spans="1:9" x14ac:dyDescent="0.3">
      <c r="A1" s="16" t="s">
        <v>282</v>
      </c>
      <c r="B1" t="s">
        <v>336</v>
      </c>
    </row>
    <row r="2" spans="1:9" x14ac:dyDescent="0.3">
      <c r="A2" s="16" t="s">
        <v>138</v>
      </c>
      <c r="B2" t="s">
        <v>125</v>
      </c>
    </row>
    <row r="3" spans="1:9" x14ac:dyDescent="0.3">
      <c r="B3">
        <f>SUBTOTAL(9,B5:B58)</f>
        <v>9916.2810000000027</v>
      </c>
      <c r="C3">
        <f>SUBTOTAL(9,C5:C57)</f>
        <v>21859.670000000002</v>
      </c>
      <c r="D3">
        <f>SUBTOTAL(9,D5:D57)</f>
        <v>4864.07</v>
      </c>
      <c r="E3">
        <f>SUBTOTAL(9,E5:E57)</f>
        <v>16995.600000000002</v>
      </c>
      <c r="F3">
        <f>SUBTOTAL(9,F5:F57)</f>
        <v>-7289.3189999999995</v>
      </c>
    </row>
    <row r="4" spans="1:9" x14ac:dyDescent="0.3">
      <c r="A4" s="5" t="s">
        <v>203</v>
      </c>
      <c r="B4" s="2" t="s">
        <v>289</v>
      </c>
      <c r="C4" t="s">
        <v>284</v>
      </c>
      <c r="E4" s="2" t="s">
        <v>284</v>
      </c>
      <c r="F4" s="2" t="s">
        <v>285</v>
      </c>
      <c r="G4" s="2" t="s">
        <v>8</v>
      </c>
      <c r="H4" s="2" t="s">
        <v>290</v>
      </c>
      <c r="I4" s="2" t="s">
        <v>288</v>
      </c>
    </row>
    <row r="5" spans="1:9" x14ac:dyDescent="0.3">
      <c r="A5" s="17" t="s">
        <v>220</v>
      </c>
      <c r="B5">
        <v>17.39</v>
      </c>
      <c r="C5">
        <v>21.91</v>
      </c>
      <c r="D5">
        <v>0</v>
      </c>
      <c r="E5">
        <f>C5-D5</f>
        <v>21.91</v>
      </c>
      <c r="F5">
        <f>B5-E5</f>
        <v>-4.5199999999999996</v>
      </c>
    </row>
    <row r="6" spans="1:9" x14ac:dyDescent="0.3">
      <c r="A6" s="17" t="s">
        <v>252</v>
      </c>
      <c r="B6">
        <v>33.709999999999994</v>
      </c>
      <c r="C6">
        <v>35.130000000000003</v>
      </c>
      <c r="D6">
        <v>0</v>
      </c>
      <c r="E6">
        <f t="shared" ref="E6:E57" si="0">C6-D6</f>
        <v>35.130000000000003</v>
      </c>
      <c r="F6">
        <f t="shared" ref="F6:F57" si="1">B6-E6</f>
        <v>-1.4200000000000088</v>
      </c>
    </row>
    <row r="7" spans="1:9" x14ac:dyDescent="0.3">
      <c r="A7" s="17" t="s">
        <v>194</v>
      </c>
      <c r="B7">
        <v>3.6</v>
      </c>
      <c r="C7">
        <v>5.45</v>
      </c>
      <c r="D7">
        <v>0</v>
      </c>
      <c r="E7">
        <f t="shared" si="0"/>
        <v>5.45</v>
      </c>
      <c r="F7">
        <f t="shared" si="1"/>
        <v>-1.85</v>
      </c>
    </row>
    <row r="8" spans="1:9" x14ac:dyDescent="0.3">
      <c r="A8" s="17" t="s">
        <v>256</v>
      </c>
      <c r="B8">
        <v>49.199999999999996</v>
      </c>
      <c r="C8">
        <v>52.66</v>
      </c>
      <c r="D8">
        <v>0</v>
      </c>
      <c r="E8">
        <f t="shared" si="0"/>
        <v>52.66</v>
      </c>
      <c r="F8">
        <f t="shared" si="1"/>
        <v>-3.4600000000000009</v>
      </c>
    </row>
    <row r="9" spans="1:9" x14ac:dyDescent="0.3">
      <c r="A9" s="17" t="s">
        <v>255</v>
      </c>
      <c r="B9">
        <v>32.799999999999997</v>
      </c>
      <c r="C9">
        <v>36.380000000000003</v>
      </c>
      <c r="D9">
        <v>0</v>
      </c>
      <c r="E9">
        <f t="shared" si="0"/>
        <v>36.380000000000003</v>
      </c>
      <c r="F9">
        <f t="shared" si="1"/>
        <v>-3.5800000000000054</v>
      </c>
    </row>
    <row r="10" spans="1:9" x14ac:dyDescent="0.3">
      <c r="A10" s="12" t="s">
        <v>236</v>
      </c>
      <c r="B10" s="2">
        <v>5.4</v>
      </c>
      <c r="C10">
        <v>0</v>
      </c>
      <c r="D10">
        <v>0</v>
      </c>
      <c r="E10" s="2">
        <f t="shared" si="0"/>
        <v>0</v>
      </c>
      <c r="F10" s="2">
        <f t="shared" si="1"/>
        <v>5.4</v>
      </c>
      <c r="G10" s="2"/>
      <c r="H10" s="2"/>
      <c r="I10" s="2"/>
    </row>
    <row r="11" spans="1:9" x14ac:dyDescent="0.3">
      <c r="A11" s="17" t="s">
        <v>258</v>
      </c>
      <c r="B11">
        <v>367.4</v>
      </c>
      <c r="C11">
        <v>1202.4000000000001</v>
      </c>
      <c r="D11">
        <f>VLOOKUP(A11,[1]Sheet1!$A$1:$B$16,2,0)</f>
        <v>167</v>
      </c>
      <c r="E11">
        <f t="shared" si="0"/>
        <v>1035.4000000000001</v>
      </c>
      <c r="F11">
        <f t="shared" si="1"/>
        <v>-668.00000000000011</v>
      </c>
    </row>
    <row r="12" spans="1:9" x14ac:dyDescent="0.3">
      <c r="A12" s="17" t="s">
        <v>257</v>
      </c>
      <c r="B12">
        <v>69.3</v>
      </c>
      <c r="C12">
        <v>250.86</v>
      </c>
      <c r="D12">
        <f>VLOOKUP(A12,[1]Sheet1!$A$1:$B$16,2,0)</f>
        <v>33</v>
      </c>
      <c r="E12">
        <f t="shared" si="0"/>
        <v>217.86</v>
      </c>
      <c r="F12">
        <f t="shared" si="1"/>
        <v>-148.56</v>
      </c>
    </row>
    <row r="13" spans="1:9" x14ac:dyDescent="0.3">
      <c r="A13" s="12" t="s">
        <v>186</v>
      </c>
      <c r="B13" s="2">
        <v>751.5</v>
      </c>
      <c r="C13">
        <v>317.3</v>
      </c>
      <c r="D13">
        <v>0</v>
      </c>
      <c r="E13" s="2">
        <f t="shared" si="0"/>
        <v>317.3</v>
      </c>
      <c r="F13" s="2">
        <f t="shared" si="1"/>
        <v>434.2</v>
      </c>
      <c r="G13" s="2"/>
      <c r="H13" s="2"/>
      <c r="I13" s="2"/>
    </row>
    <row r="14" spans="1:9" x14ac:dyDescent="0.3">
      <c r="A14" s="12" t="s">
        <v>230</v>
      </c>
      <c r="B14" s="2">
        <v>155.1</v>
      </c>
      <c r="C14">
        <v>52.8</v>
      </c>
      <c r="D14">
        <v>0</v>
      </c>
      <c r="E14" s="2">
        <f t="shared" si="0"/>
        <v>52.8</v>
      </c>
      <c r="F14" s="2">
        <f t="shared" si="1"/>
        <v>102.3</v>
      </c>
      <c r="G14" s="2"/>
      <c r="H14" s="2"/>
      <c r="I14" s="2"/>
    </row>
    <row r="15" spans="1:9" x14ac:dyDescent="0.3">
      <c r="A15" s="17" t="s">
        <v>273</v>
      </c>
      <c r="B15">
        <v>0</v>
      </c>
      <c r="C15">
        <v>236.7</v>
      </c>
      <c r="D15">
        <f>VLOOKUP(A15,[1]Sheet1!$A$1:$B$16,2,0)</f>
        <v>67.2</v>
      </c>
      <c r="E15">
        <f t="shared" si="0"/>
        <v>169.5</v>
      </c>
      <c r="F15">
        <f t="shared" si="1"/>
        <v>-169.5</v>
      </c>
    </row>
    <row r="16" spans="1:9" x14ac:dyDescent="0.3">
      <c r="A16" s="12" t="s">
        <v>270</v>
      </c>
      <c r="B16" s="2">
        <v>50.420999999999992</v>
      </c>
      <c r="C16">
        <v>0</v>
      </c>
      <c r="D16">
        <v>0</v>
      </c>
      <c r="E16" s="2">
        <f t="shared" si="0"/>
        <v>0</v>
      </c>
      <c r="F16" s="2">
        <f t="shared" si="1"/>
        <v>50.420999999999992</v>
      </c>
      <c r="G16" s="2"/>
      <c r="H16" s="2"/>
      <c r="I16" s="2"/>
    </row>
    <row r="17" spans="1:9" x14ac:dyDescent="0.3">
      <c r="A17" s="12" t="s">
        <v>239</v>
      </c>
      <c r="B17" s="2">
        <v>18.170000000000002</v>
      </c>
      <c r="C17">
        <v>0</v>
      </c>
      <c r="D17">
        <v>0</v>
      </c>
      <c r="E17" s="2">
        <f t="shared" si="0"/>
        <v>0</v>
      </c>
      <c r="F17" s="2">
        <f t="shared" si="1"/>
        <v>18.170000000000002</v>
      </c>
      <c r="G17" s="2"/>
      <c r="H17" s="2"/>
      <c r="I17" s="2"/>
    </row>
    <row r="18" spans="1:9" x14ac:dyDescent="0.3">
      <c r="A18" s="12" t="s">
        <v>232</v>
      </c>
      <c r="B18" s="2">
        <v>618.79999999999995</v>
      </c>
      <c r="C18">
        <v>0</v>
      </c>
      <c r="D18">
        <v>0</v>
      </c>
      <c r="E18" s="2">
        <f t="shared" si="0"/>
        <v>0</v>
      </c>
      <c r="F18" s="2">
        <f t="shared" si="1"/>
        <v>618.79999999999995</v>
      </c>
      <c r="G18" s="2"/>
      <c r="H18" s="2"/>
      <c r="I18" s="2"/>
    </row>
    <row r="19" spans="1:9" x14ac:dyDescent="0.3">
      <c r="A19" s="12" t="s">
        <v>190</v>
      </c>
      <c r="B19" s="2">
        <v>5.4</v>
      </c>
      <c r="C19">
        <v>23.4</v>
      </c>
      <c r="D19">
        <f>VLOOKUP(A19,[1]Sheet1!$A$1:$B$16,2,0)</f>
        <v>7.2</v>
      </c>
      <c r="E19" s="2">
        <f t="shared" si="0"/>
        <v>16.2</v>
      </c>
      <c r="F19" s="2">
        <f t="shared" si="1"/>
        <v>-10.799999999999999</v>
      </c>
      <c r="G19" s="2"/>
      <c r="H19" s="2"/>
      <c r="I19" s="2"/>
    </row>
    <row r="20" spans="1:9" x14ac:dyDescent="0.3">
      <c r="A20" s="12" t="s">
        <v>181</v>
      </c>
      <c r="B20" s="2">
        <v>1.8</v>
      </c>
      <c r="C20">
        <v>0</v>
      </c>
      <c r="D20">
        <v>0</v>
      </c>
      <c r="E20" s="2">
        <f t="shared" si="0"/>
        <v>0</v>
      </c>
      <c r="F20" s="2">
        <f t="shared" si="1"/>
        <v>1.8</v>
      </c>
      <c r="G20" s="2"/>
      <c r="H20" s="2"/>
      <c r="I20" s="2"/>
    </row>
    <row r="21" spans="1:9" x14ac:dyDescent="0.3">
      <c r="A21" s="12" t="s">
        <v>235</v>
      </c>
      <c r="B21" s="2">
        <v>54</v>
      </c>
      <c r="C21">
        <v>0</v>
      </c>
      <c r="D21">
        <v>0</v>
      </c>
      <c r="E21" s="2">
        <f t="shared" si="0"/>
        <v>0</v>
      </c>
      <c r="F21" s="2">
        <f t="shared" si="1"/>
        <v>54</v>
      </c>
      <c r="G21" s="2"/>
      <c r="H21" s="2"/>
      <c r="I21" s="2"/>
    </row>
    <row r="22" spans="1:9" x14ac:dyDescent="0.3">
      <c r="A22" s="12" t="s">
        <v>269</v>
      </c>
      <c r="B22" s="2">
        <v>320.39999999999998</v>
      </c>
      <c r="C22">
        <v>1118.72</v>
      </c>
      <c r="D22">
        <f>VLOOKUP(A22,[1]Sheet1!$A$1:$B$16,2,0)</f>
        <v>368.82</v>
      </c>
      <c r="E22" s="2">
        <f t="shared" si="0"/>
        <v>749.90000000000009</v>
      </c>
      <c r="F22" s="2">
        <f t="shared" si="1"/>
        <v>-429.50000000000011</v>
      </c>
      <c r="G22" s="2"/>
      <c r="H22" s="2"/>
      <c r="I22" s="2"/>
    </row>
    <row r="23" spans="1:9" x14ac:dyDescent="0.3">
      <c r="A23" s="17" t="s">
        <v>271</v>
      </c>
      <c r="B23">
        <v>41.8</v>
      </c>
      <c r="C23">
        <v>151.80000000000001</v>
      </c>
      <c r="D23">
        <f>VLOOKUP(A23,[1]Sheet1!$A$1:$B$16,2,0)</f>
        <v>50.6</v>
      </c>
      <c r="E23">
        <f t="shared" si="0"/>
        <v>101.20000000000002</v>
      </c>
      <c r="F23">
        <f t="shared" si="1"/>
        <v>-59.40000000000002</v>
      </c>
    </row>
    <row r="24" spans="1:9" x14ac:dyDescent="0.3">
      <c r="A24" s="17" t="s">
        <v>272</v>
      </c>
      <c r="B24">
        <v>17.77</v>
      </c>
      <c r="C24">
        <v>17.77</v>
      </c>
      <c r="D24">
        <v>0</v>
      </c>
      <c r="E24">
        <f t="shared" si="0"/>
        <v>17.77</v>
      </c>
      <c r="F24">
        <f t="shared" si="1"/>
        <v>0</v>
      </c>
    </row>
    <row r="25" spans="1:9" x14ac:dyDescent="0.3">
      <c r="A25" s="12" t="s">
        <v>227</v>
      </c>
      <c r="B25" s="2">
        <v>213.2</v>
      </c>
      <c r="C25">
        <v>0</v>
      </c>
      <c r="D25">
        <v>0</v>
      </c>
      <c r="E25" s="2">
        <f t="shared" si="0"/>
        <v>0</v>
      </c>
      <c r="F25" s="2">
        <f t="shared" si="1"/>
        <v>213.2</v>
      </c>
      <c r="G25" s="2"/>
      <c r="H25" s="2"/>
      <c r="I25" s="2"/>
    </row>
    <row r="26" spans="1:9" x14ac:dyDescent="0.3">
      <c r="A26" s="12" t="s">
        <v>228</v>
      </c>
      <c r="B26" s="2">
        <v>14.4</v>
      </c>
      <c r="C26">
        <v>0</v>
      </c>
      <c r="D26">
        <v>0</v>
      </c>
      <c r="E26" s="2">
        <f t="shared" si="0"/>
        <v>0</v>
      </c>
      <c r="F26" s="2">
        <f t="shared" si="1"/>
        <v>14.4</v>
      </c>
      <c r="G26" s="2"/>
      <c r="H26" s="2"/>
      <c r="I26" s="2"/>
    </row>
    <row r="27" spans="1:9" x14ac:dyDescent="0.3">
      <c r="A27" s="12" t="s">
        <v>233</v>
      </c>
      <c r="B27" s="2">
        <v>245.99999999999997</v>
      </c>
      <c r="C27">
        <v>0</v>
      </c>
      <c r="D27">
        <v>0</v>
      </c>
      <c r="E27" s="2">
        <f t="shared" si="0"/>
        <v>0</v>
      </c>
      <c r="F27" s="2">
        <f t="shared" si="1"/>
        <v>245.99999999999997</v>
      </c>
      <c r="G27" s="2"/>
      <c r="H27" s="2"/>
      <c r="I27" s="2"/>
    </row>
    <row r="28" spans="1:9" x14ac:dyDescent="0.3">
      <c r="A28" s="12" t="s">
        <v>229</v>
      </c>
      <c r="B28" s="2">
        <v>86.4</v>
      </c>
      <c r="C28">
        <v>0</v>
      </c>
      <c r="D28">
        <v>0</v>
      </c>
      <c r="E28" s="2">
        <f t="shared" si="0"/>
        <v>0</v>
      </c>
      <c r="F28" s="2">
        <f t="shared" si="1"/>
        <v>86.4</v>
      </c>
      <c r="G28" s="2"/>
      <c r="H28" s="2"/>
      <c r="I28" s="2"/>
    </row>
    <row r="29" spans="1:9" x14ac:dyDescent="0.3">
      <c r="A29" s="17" t="s">
        <v>249</v>
      </c>
      <c r="B29">
        <v>300</v>
      </c>
      <c r="C29">
        <v>1123.4000000000001</v>
      </c>
      <c r="D29">
        <f>VLOOKUP(A29,[1]Sheet1!$A$1:$B$16,2,0)</f>
        <v>200</v>
      </c>
      <c r="E29">
        <f t="shared" si="0"/>
        <v>923.40000000000009</v>
      </c>
      <c r="F29">
        <f t="shared" si="1"/>
        <v>-623.40000000000009</v>
      </c>
    </row>
    <row r="30" spans="1:9" x14ac:dyDescent="0.3">
      <c r="A30" s="12" t="s">
        <v>218</v>
      </c>
      <c r="B30" s="2">
        <v>735</v>
      </c>
      <c r="C30">
        <v>1541.84</v>
      </c>
      <c r="D30">
        <f>VLOOKUP(A30,[1]Sheet1!$A$1:$B$16,2,0)</f>
        <v>440</v>
      </c>
      <c r="E30" s="2">
        <f t="shared" si="0"/>
        <v>1101.8399999999999</v>
      </c>
      <c r="F30" s="2">
        <f t="shared" si="1"/>
        <v>-366.83999999999992</v>
      </c>
      <c r="G30" s="2"/>
      <c r="H30" s="2"/>
      <c r="I30" s="2"/>
    </row>
    <row r="31" spans="1:9" x14ac:dyDescent="0.3">
      <c r="A31" s="12" t="s">
        <v>207</v>
      </c>
      <c r="B31" s="2">
        <v>20</v>
      </c>
      <c r="C31">
        <v>0</v>
      </c>
      <c r="D31">
        <v>0</v>
      </c>
      <c r="E31" s="2">
        <f t="shared" si="0"/>
        <v>0</v>
      </c>
      <c r="F31" s="2">
        <f t="shared" si="1"/>
        <v>20</v>
      </c>
      <c r="G31" s="2"/>
      <c r="H31" s="2"/>
      <c r="I31" s="2"/>
    </row>
    <row r="32" spans="1:9" x14ac:dyDescent="0.3">
      <c r="A32" s="12" t="s">
        <v>264</v>
      </c>
      <c r="B32" s="2">
        <v>7.8000000000000007</v>
      </c>
      <c r="C32">
        <v>0</v>
      </c>
      <c r="D32">
        <v>0</v>
      </c>
      <c r="E32" s="2">
        <f t="shared" si="0"/>
        <v>0</v>
      </c>
      <c r="F32" s="2">
        <f t="shared" si="1"/>
        <v>7.8000000000000007</v>
      </c>
      <c r="G32" s="2"/>
      <c r="H32" s="2"/>
      <c r="I32" s="2"/>
    </row>
    <row r="33" spans="1:9" x14ac:dyDescent="0.3">
      <c r="A33" s="12" t="s">
        <v>175</v>
      </c>
      <c r="B33" s="2">
        <v>262.5</v>
      </c>
      <c r="C33">
        <v>237</v>
      </c>
      <c r="D33">
        <f>VLOOKUP(A33,[1]Sheet1!$A$1:$B$16,2,0)</f>
        <v>9</v>
      </c>
      <c r="E33" s="2">
        <f t="shared" si="0"/>
        <v>228</v>
      </c>
      <c r="F33" s="2">
        <f t="shared" si="1"/>
        <v>34.5</v>
      </c>
      <c r="G33" s="2"/>
      <c r="H33" s="2"/>
      <c r="I33" s="2"/>
    </row>
    <row r="34" spans="1:9" x14ac:dyDescent="0.3">
      <c r="A34" s="12" t="s">
        <v>188</v>
      </c>
      <c r="B34" s="2">
        <v>45</v>
      </c>
      <c r="C34">
        <v>38.200000000000003</v>
      </c>
      <c r="D34">
        <f>VLOOKUP(A34,[1]Sheet1!$A$1:$B$16,2,0)</f>
        <v>1.25</v>
      </c>
      <c r="E34" s="2">
        <f t="shared" si="0"/>
        <v>36.950000000000003</v>
      </c>
      <c r="F34" s="2">
        <f t="shared" si="1"/>
        <v>8.0499999999999972</v>
      </c>
      <c r="G34" s="2"/>
      <c r="H34" s="2"/>
      <c r="I34" s="2"/>
    </row>
    <row r="35" spans="1:9" x14ac:dyDescent="0.3">
      <c r="A35" s="12" t="s">
        <v>183</v>
      </c>
      <c r="B35" s="2">
        <v>596</v>
      </c>
      <c r="C35">
        <v>464</v>
      </c>
      <c r="D35">
        <v>0</v>
      </c>
      <c r="E35" s="2">
        <f t="shared" si="0"/>
        <v>464</v>
      </c>
      <c r="F35" s="2">
        <f t="shared" si="1"/>
        <v>132</v>
      </c>
      <c r="G35" s="2"/>
      <c r="H35" s="2"/>
      <c r="I35" s="2"/>
    </row>
    <row r="36" spans="1:9" x14ac:dyDescent="0.3">
      <c r="A36" s="17" t="s">
        <v>214</v>
      </c>
      <c r="B36">
        <v>64</v>
      </c>
      <c r="C36">
        <v>116</v>
      </c>
      <c r="D36">
        <v>0</v>
      </c>
      <c r="E36">
        <f t="shared" si="0"/>
        <v>116</v>
      </c>
      <c r="F36">
        <f t="shared" si="1"/>
        <v>-52</v>
      </c>
    </row>
    <row r="37" spans="1:9" x14ac:dyDescent="0.3">
      <c r="A37" s="12" t="s">
        <v>247</v>
      </c>
      <c r="B37" s="2">
        <v>368</v>
      </c>
      <c r="C37">
        <v>1261.9000000000001</v>
      </c>
      <c r="D37">
        <f>VLOOKUP(A37,[1]Sheet1!$A$1:$B$16,2,0)</f>
        <v>464</v>
      </c>
      <c r="E37" s="2">
        <f t="shared" si="0"/>
        <v>797.90000000000009</v>
      </c>
      <c r="F37" s="2">
        <f t="shared" si="1"/>
        <v>-429.90000000000009</v>
      </c>
      <c r="G37" s="2"/>
      <c r="H37" s="2"/>
      <c r="I37" s="2"/>
    </row>
    <row r="38" spans="1:9" x14ac:dyDescent="0.3">
      <c r="A38" s="12" t="s">
        <v>250</v>
      </c>
      <c r="B38" s="2">
        <v>300</v>
      </c>
      <c r="C38">
        <v>334.1</v>
      </c>
      <c r="D38">
        <f>VLOOKUP(A38,[1]Sheet1!$A$1:$B$16,2,0)</f>
        <v>100</v>
      </c>
      <c r="E38" s="2">
        <f t="shared" si="0"/>
        <v>234.10000000000002</v>
      </c>
      <c r="F38" s="2">
        <f t="shared" si="1"/>
        <v>65.899999999999977</v>
      </c>
      <c r="G38" s="2"/>
      <c r="H38" s="2"/>
      <c r="I38" s="2"/>
    </row>
    <row r="39" spans="1:9" x14ac:dyDescent="0.3">
      <c r="A39" s="12" t="s">
        <v>209</v>
      </c>
      <c r="B39" s="2">
        <v>2592</v>
      </c>
      <c r="C39">
        <v>8800</v>
      </c>
      <c r="D39">
        <f>VLOOKUP(A39,[1]Sheet1!$A$1:$B$16,2,0)</f>
        <v>2144</v>
      </c>
      <c r="E39" s="2">
        <f t="shared" si="0"/>
        <v>6656</v>
      </c>
      <c r="F39" s="2">
        <f t="shared" si="1"/>
        <v>-4064</v>
      </c>
      <c r="G39" s="2"/>
      <c r="H39" s="2"/>
      <c r="I39" s="2"/>
    </row>
    <row r="40" spans="1:9" x14ac:dyDescent="0.3">
      <c r="A40" s="17" t="s">
        <v>198</v>
      </c>
      <c r="B40">
        <v>412</v>
      </c>
      <c r="C40">
        <v>2176</v>
      </c>
      <c r="D40">
        <f>VLOOKUP(A40,[1]Sheet1!$A$1:$B$16,2,0)</f>
        <v>552</v>
      </c>
      <c r="E40">
        <f t="shared" si="0"/>
        <v>1624</v>
      </c>
      <c r="F40">
        <f t="shared" si="1"/>
        <v>-1212</v>
      </c>
    </row>
    <row r="41" spans="1:9" x14ac:dyDescent="0.3">
      <c r="A41" s="17" t="s">
        <v>222</v>
      </c>
      <c r="B41">
        <v>320</v>
      </c>
      <c r="C41">
        <v>1200</v>
      </c>
      <c r="D41">
        <f>VLOOKUP(A41,[1]Sheet1!$A$1:$B$16,2,0)</f>
        <v>208</v>
      </c>
      <c r="E41">
        <f t="shared" si="0"/>
        <v>992</v>
      </c>
      <c r="F41">
        <f t="shared" si="1"/>
        <v>-672</v>
      </c>
    </row>
    <row r="42" spans="1:9" x14ac:dyDescent="0.3">
      <c r="A42" s="17" t="s">
        <v>199</v>
      </c>
      <c r="B42">
        <v>136</v>
      </c>
      <c r="C42">
        <v>312</v>
      </c>
      <c r="D42">
        <f>VLOOKUP(A42,[1]Sheet1!$A$1:$B$16,2,0)</f>
        <v>52</v>
      </c>
      <c r="E42">
        <f t="shared" si="0"/>
        <v>260</v>
      </c>
      <c r="F42">
        <f t="shared" si="1"/>
        <v>-124</v>
      </c>
    </row>
    <row r="43" spans="1:9" x14ac:dyDescent="0.3">
      <c r="A43" s="12" t="s">
        <v>245</v>
      </c>
      <c r="B43" s="2">
        <v>4.17</v>
      </c>
      <c r="C43">
        <v>0</v>
      </c>
      <c r="D43">
        <v>0</v>
      </c>
      <c r="E43" s="2">
        <f t="shared" si="0"/>
        <v>0</v>
      </c>
      <c r="F43" s="2">
        <f t="shared" si="1"/>
        <v>4.17</v>
      </c>
      <c r="G43" s="2"/>
      <c r="H43" s="2"/>
      <c r="I43" s="2"/>
    </row>
    <row r="44" spans="1:9" x14ac:dyDescent="0.3">
      <c r="A44" s="17" t="s">
        <v>246</v>
      </c>
      <c r="B44">
        <v>0.83</v>
      </c>
      <c r="C44">
        <v>3.32</v>
      </c>
      <c r="D44">
        <v>0</v>
      </c>
      <c r="E44">
        <f t="shared" si="0"/>
        <v>3.32</v>
      </c>
      <c r="F44">
        <f t="shared" si="1"/>
        <v>-2.4899999999999998</v>
      </c>
    </row>
    <row r="45" spans="1:9" x14ac:dyDescent="0.3">
      <c r="A45" s="12" t="s">
        <v>253</v>
      </c>
      <c r="B45" s="2">
        <v>0.45</v>
      </c>
      <c r="C45">
        <v>0</v>
      </c>
      <c r="D45">
        <v>0</v>
      </c>
      <c r="E45" s="2">
        <f t="shared" si="0"/>
        <v>0</v>
      </c>
      <c r="F45" s="2">
        <f t="shared" si="1"/>
        <v>0.45</v>
      </c>
      <c r="G45" s="2"/>
      <c r="H45" s="2"/>
      <c r="I45" s="2"/>
    </row>
    <row r="46" spans="1:9" x14ac:dyDescent="0.3">
      <c r="A46" s="17" t="s">
        <v>248</v>
      </c>
      <c r="B46">
        <v>29.7</v>
      </c>
      <c r="C46">
        <v>162.5</v>
      </c>
      <c r="D46">
        <v>0</v>
      </c>
      <c r="E46">
        <f t="shared" si="0"/>
        <v>162.5</v>
      </c>
      <c r="F46">
        <f t="shared" si="1"/>
        <v>-132.80000000000001</v>
      </c>
    </row>
    <row r="47" spans="1:9" x14ac:dyDescent="0.3">
      <c r="A47" s="12" t="s">
        <v>243</v>
      </c>
      <c r="B47" s="2">
        <v>54.599999999999994</v>
      </c>
      <c r="C47">
        <v>0</v>
      </c>
      <c r="D47">
        <v>0</v>
      </c>
      <c r="E47" s="2">
        <f t="shared" si="0"/>
        <v>0</v>
      </c>
      <c r="F47" s="2">
        <f t="shared" si="1"/>
        <v>54.599999999999994</v>
      </c>
      <c r="G47" s="2"/>
      <c r="H47" s="2"/>
      <c r="I47" s="2"/>
    </row>
    <row r="48" spans="1:9" x14ac:dyDescent="0.3">
      <c r="A48" s="17" t="s">
        <v>241</v>
      </c>
      <c r="B48">
        <v>34.67</v>
      </c>
      <c r="C48">
        <v>382.2</v>
      </c>
      <c r="D48">
        <v>0</v>
      </c>
      <c r="E48">
        <f t="shared" si="0"/>
        <v>382.2</v>
      </c>
      <c r="F48">
        <f t="shared" si="1"/>
        <v>-347.53</v>
      </c>
    </row>
    <row r="49" spans="1:9" x14ac:dyDescent="0.3">
      <c r="A49" s="12" t="s">
        <v>274</v>
      </c>
      <c r="B49" s="2">
        <v>120</v>
      </c>
      <c r="C49">
        <v>80</v>
      </c>
      <c r="D49">
        <v>0</v>
      </c>
      <c r="E49" s="2">
        <f t="shared" si="0"/>
        <v>80</v>
      </c>
      <c r="F49" s="2">
        <f t="shared" si="1"/>
        <v>40</v>
      </c>
      <c r="G49" s="2"/>
      <c r="H49" s="2"/>
      <c r="I49" s="2"/>
    </row>
    <row r="50" spans="1:9" x14ac:dyDescent="0.3">
      <c r="A50" s="12" t="s">
        <v>276</v>
      </c>
      <c r="B50" s="2">
        <v>80</v>
      </c>
      <c r="C50">
        <v>60</v>
      </c>
      <c r="D50">
        <v>0</v>
      </c>
      <c r="E50" s="2">
        <f t="shared" si="0"/>
        <v>60</v>
      </c>
      <c r="F50" s="2">
        <f t="shared" si="1"/>
        <v>20</v>
      </c>
      <c r="G50" s="2"/>
      <c r="H50" s="2"/>
      <c r="I50" s="2"/>
    </row>
    <row r="51" spans="1:9" x14ac:dyDescent="0.3">
      <c r="A51" s="17" t="s">
        <v>277</v>
      </c>
      <c r="B51">
        <v>17.5</v>
      </c>
      <c r="C51">
        <v>17.5</v>
      </c>
      <c r="D51">
        <v>0</v>
      </c>
      <c r="E51">
        <f t="shared" si="0"/>
        <v>17.5</v>
      </c>
      <c r="F51">
        <f t="shared" si="1"/>
        <v>0</v>
      </c>
    </row>
    <row r="52" spans="1:9" x14ac:dyDescent="0.3">
      <c r="A52" s="17" t="s">
        <v>278</v>
      </c>
      <c r="B52">
        <v>2.5</v>
      </c>
      <c r="C52">
        <v>2.5</v>
      </c>
      <c r="D52">
        <v>0</v>
      </c>
      <c r="E52">
        <f t="shared" si="0"/>
        <v>2.5</v>
      </c>
      <c r="F52">
        <f t="shared" si="1"/>
        <v>0</v>
      </c>
    </row>
    <row r="53" spans="1:9" x14ac:dyDescent="0.3">
      <c r="A53" s="12" t="s">
        <v>182</v>
      </c>
      <c r="B53" s="2">
        <v>3.6</v>
      </c>
      <c r="C53">
        <v>2.25</v>
      </c>
      <c r="D53">
        <v>0</v>
      </c>
      <c r="E53" s="2">
        <f t="shared" si="0"/>
        <v>2.25</v>
      </c>
      <c r="F53" s="2">
        <f t="shared" si="1"/>
        <v>1.35</v>
      </c>
      <c r="G53" s="2"/>
      <c r="H53" s="2"/>
      <c r="I53" s="2"/>
    </row>
    <row r="54" spans="1:9" x14ac:dyDescent="0.3">
      <c r="A54" s="12" t="s">
        <v>184</v>
      </c>
      <c r="B54" s="2">
        <v>3.6</v>
      </c>
      <c r="C54">
        <v>0</v>
      </c>
      <c r="D54">
        <v>0</v>
      </c>
      <c r="E54" s="2">
        <f t="shared" si="0"/>
        <v>0</v>
      </c>
      <c r="F54" s="2">
        <f t="shared" si="1"/>
        <v>3.6</v>
      </c>
      <c r="G54" s="2"/>
      <c r="H54" s="2"/>
      <c r="I54" s="2"/>
    </row>
    <row r="55" spans="1:9" x14ac:dyDescent="0.3">
      <c r="A55" s="17" t="s">
        <v>195</v>
      </c>
      <c r="B55">
        <v>1.8</v>
      </c>
      <c r="C55">
        <v>1.8</v>
      </c>
      <c r="D55">
        <v>0</v>
      </c>
      <c r="E55">
        <f t="shared" si="0"/>
        <v>1.8</v>
      </c>
      <c r="F55">
        <f t="shared" si="1"/>
        <v>0</v>
      </c>
    </row>
    <row r="56" spans="1:9" x14ac:dyDescent="0.3">
      <c r="A56" s="17" t="s">
        <v>202</v>
      </c>
      <c r="B56">
        <v>1.8</v>
      </c>
      <c r="C56">
        <v>1.8</v>
      </c>
      <c r="D56">
        <v>0</v>
      </c>
      <c r="E56">
        <f t="shared" si="0"/>
        <v>1.8</v>
      </c>
      <c r="F56">
        <f t="shared" si="1"/>
        <v>0</v>
      </c>
    </row>
    <row r="57" spans="1:9" x14ac:dyDescent="0.3">
      <c r="A57" s="12" t="s">
        <v>283</v>
      </c>
      <c r="B57" s="2">
        <v>18.8</v>
      </c>
      <c r="C57">
        <v>18.079999999999998</v>
      </c>
      <c r="D57">
        <v>0</v>
      </c>
      <c r="E57" s="2">
        <f t="shared" si="0"/>
        <v>18.079999999999998</v>
      </c>
      <c r="F57" s="2">
        <f t="shared" si="1"/>
        <v>0.72000000000000242</v>
      </c>
      <c r="G57" s="2"/>
      <c r="H57" s="2"/>
      <c r="I57" s="2"/>
    </row>
    <row r="58" spans="1:9" x14ac:dyDescent="0.3">
      <c r="A58" s="17" t="s">
        <v>335</v>
      </c>
      <c r="B58">
        <v>210</v>
      </c>
    </row>
    <row r="59" spans="1:9" x14ac:dyDescent="0.3">
      <c r="A59" s="17" t="s">
        <v>334</v>
      </c>
      <c r="B59">
        <v>30</v>
      </c>
    </row>
    <row r="60" spans="1:9" x14ac:dyDescent="0.3">
      <c r="A60" s="17" t="s">
        <v>123</v>
      </c>
      <c r="B60">
        <v>9946.2810000000027</v>
      </c>
    </row>
  </sheetData>
  <autoFilter ref="A4:F58" xr:uid="{EB6AD8D5-93E5-44CC-A381-493D4F43D50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B61C-85DE-4A32-B2C7-365C63C7AC11}">
  <sheetPr filterMode="1"/>
  <dimension ref="B2:R61"/>
  <sheetViews>
    <sheetView topLeftCell="A2" workbookViewId="0">
      <selection activeCell="R10" sqref="R10"/>
    </sheetView>
  </sheetViews>
  <sheetFormatPr defaultRowHeight="14.4" x14ac:dyDescent="0.3"/>
  <cols>
    <col min="2" max="2" width="53.88671875" bestFit="1" customWidth="1"/>
    <col min="3" max="3" width="16.44140625" bestFit="1" customWidth="1"/>
    <col min="4" max="4" width="20.88671875" bestFit="1" customWidth="1"/>
    <col min="5" max="5" width="11.6640625" hidden="1" customWidth="1"/>
    <col min="6" max="8" width="5.88671875" hidden="1" customWidth="1"/>
    <col min="9" max="9" width="8.88671875" hidden="1" customWidth="1"/>
    <col min="10" max="10" width="9.5546875" hidden="1" customWidth="1"/>
    <col min="11" max="11" width="6.88671875" hidden="1" customWidth="1"/>
    <col min="12" max="12" width="20.88671875" bestFit="1" customWidth="1"/>
    <col min="13" max="17" width="0" hidden="1" customWidth="1"/>
    <col min="18" max="18" width="9.5546875" bestFit="1" customWidth="1"/>
  </cols>
  <sheetData>
    <row r="2" spans="2:18" x14ac:dyDescent="0.3">
      <c r="D2" s="52">
        <v>45852</v>
      </c>
      <c r="E2" t="s">
        <v>337</v>
      </c>
      <c r="I2">
        <f>SUBTOTAL(9,I4:I56)</f>
        <v>1371.5099999999993</v>
      </c>
      <c r="L2" s="52">
        <v>45897</v>
      </c>
    </row>
    <row r="3" spans="2:18" x14ac:dyDescent="0.3">
      <c r="B3" s="70" t="s">
        <v>342</v>
      </c>
      <c r="C3" s="70" t="s">
        <v>289</v>
      </c>
      <c r="D3" s="70" t="s">
        <v>339</v>
      </c>
      <c r="E3" t="s">
        <v>284</v>
      </c>
      <c r="I3" t="s">
        <v>285</v>
      </c>
      <c r="J3" t="s">
        <v>332</v>
      </c>
      <c r="K3" t="s">
        <v>333</v>
      </c>
      <c r="L3" s="70" t="s">
        <v>339</v>
      </c>
      <c r="M3" t="s">
        <v>285</v>
      </c>
      <c r="R3" s="70" t="s">
        <v>285</v>
      </c>
    </row>
    <row r="4" spans="2:18" hidden="1" x14ac:dyDescent="0.3">
      <c r="B4" t="s">
        <v>220</v>
      </c>
      <c r="C4">
        <v>17.39</v>
      </c>
      <c r="D4">
        <v>21.91</v>
      </c>
      <c r="E4">
        <v>21.91</v>
      </c>
      <c r="F4" t="b">
        <f>D4=E4</f>
        <v>1</v>
      </c>
      <c r="G4">
        <f>VLOOKUP(B4,Sheet5!$A4:$C60,3,0)</f>
        <v>21.91</v>
      </c>
      <c r="H4">
        <f>D4-G4</f>
        <v>0</v>
      </c>
      <c r="I4">
        <v>-4.5199999999999996</v>
      </c>
      <c r="J4">
        <f>VLOOKUP(B4,Sheet5!A5:B57,2,0)</f>
        <v>17.39</v>
      </c>
      <c r="K4">
        <f>VLOOKUP(B4,[2]Sheet2!$A:$F,6,0)</f>
        <v>21.91</v>
      </c>
      <c r="L4">
        <f>K4</f>
        <v>21.91</v>
      </c>
      <c r="M4">
        <f>K4-J4</f>
        <v>4.5199999999999996</v>
      </c>
      <c r="N4">
        <f>M4+I4</f>
        <v>0</v>
      </c>
      <c r="P4">
        <f t="shared" ref="P4:P9" si="0">E4-K4</f>
        <v>0</v>
      </c>
      <c r="R4">
        <f>L4-D4</f>
        <v>0</v>
      </c>
    </row>
    <row r="5" spans="2:18" hidden="1" x14ac:dyDescent="0.3">
      <c r="B5" t="s">
        <v>252</v>
      </c>
      <c r="C5">
        <v>33.709999999999994</v>
      </c>
      <c r="D5">
        <f>E5</f>
        <v>35.130000000000003</v>
      </c>
      <c r="E5">
        <v>35.130000000000003</v>
      </c>
      <c r="F5" t="b">
        <f t="shared" ref="F5:F58" si="1">D5=E5</f>
        <v>1</v>
      </c>
      <c r="G5">
        <f>VLOOKUP(B5,Sheet5!$A5:$C61,3,0)</f>
        <v>35.130000000000003</v>
      </c>
      <c r="H5">
        <f t="shared" ref="H5:H58" si="2">D5-G5</f>
        <v>0</v>
      </c>
      <c r="I5">
        <v>-1.4200000000000088</v>
      </c>
      <c r="J5">
        <f>VLOOKUP(B5,Sheet5!A6:B58,2,0)</f>
        <v>33.709999999999994</v>
      </c>
      <c r="K5">
        <f>VLOOKUP(B5,[2]Sheet2!$A:$F,6,0)</f>
        <v>35.130000000000003</v>
      </c>
      <c r="L5">
        <f t="shared" ref="L5:L6" si="3">K5</f>
        <v>35.130000000000003</v>
      </c>
      <c r="M5">
        <f t="shared" ref="M5:M58" si="4">K5-J5</f>
        <v>1.4200000000000088</v>
      </c>
      <c r="N5">
        <f t="shared" ref="N5:N58" si="5">M5+I5</f>
        <v>0</v>
      </c>
      <c r="P5">
        <f t="shared" si="0"/>
        <v>0</v>
      </c>
      <c r="R5">
        <f t="shared" ref="R5:R58" si="6">L5-D5</f>
        <v>0</v>
      </c>
    </row>
    <row r="6" spans="2:18" hidden="1" x14ac:dyDescent="0.3">
      <c r="B6" t="s">
        <v>194</v>
      </c>
      <c r="C6">
        <v>3.6</v>
      </c>
      <c r="D6">
        <f>E6</f>
        <v>5.45</v>
      </c>
      <c r="E6">
        <v>5.45</v>
      </c>
      <c r="F6" t="b">
        <f t="shared" si="1"/>
        <v>1</v>
      </c>
      <c r="G6">
        <f>VLOOKUP(B6,Sheet5!$A6:$C62,3,0)</f>
        <v>5.45</v>
      </c>
      <c r="H6">
        <f t="shared" si="2"/>
        <v>0</v>
      </c>
      <c r="I6">
        <v>-1.85</v>
      </c>
      <c r="J6">
        <f>VLOOKUP(B6,Sheet5!A7:B59,2,0)</f>
        <v>3.6</v>
      </c>
      <c r="K6">
        <f>VLOOKUP(B6,[2]Sheet2!$A:$F,6,0)</f>
        <v>5.45</v>
      </c>
      <c r="L6">
        <f t="shared" si="3"/>
        <v>5.45</v>
      </c>
      <c r="M6">
        <f t="shared" si="4"/>
        <v>1.85</v>
      </c>
      <c r="N6">
        <f t="shared" si="5"/>
        <v>0</v>
      </c>
      <c r="P6">
        <f t="shared" si="0"/>
        <v>0</v>
      </c>
      <c r="R6">
        <f t="shared" si="6"/>
        <v>0</v>
      </c>
    </row>
    <row r="7" spans="2:18" hidden="1" x14ac:dyDescent="0.3">
      <c r="B7" t="s">
        <v>256</v>
      </c>
      <c r="C7">
        <v>49.199999999999996</v>
      </c>
      <c r="D7">
        <f>VLOOKUP(B7,[3]Sheet1!$A:$B,2,0)</f>
        <v>52.66</v>
      </c>
      <c r="E7">
        <v>52.66</v>
      </c>
      <c r="F7" t="b">
        <f t="shared" si="1"/>
        <v>1</v>
      </c>
      <c r="G7">
        <f>VLOOKUP(B7,Sheet5!$A7:$C63,3,0)</f>
        <v>52.66</v>
      </c>
      <c r="H7">
        <f t="shared" si="2"/>
        <v>0</v>
      </c>
      <c r="I7">
        <v>-3.4600000000000009</v>
      </c>
      <c r="J7">
        <f>VLOOKUP(B7,Sheet5!A8:B60,2,0)</f>
        <v>49.199999999999996</v>
      </c>
      <c r="K7">
        <f>VLOOKUP(B7,[2]Sheet2!$A:$F,6,0)</f>
        <v>52.66</v>
      </c>
      <c r="L7">
        <f>VLOOKUP(B7,[4]Sheet1!$A:$B,2,0)</f>
        <v>52.66</v>
      </c>
      <c r="M7">
        <f t="shared" si="4"/>
        <v>3.4600000000000009</v>
      </c>
      <c r="N7">
        <f t="shared" si="5"/>
        <v>0</v>
      </c>
      <c r="P7">
        <f t="shared" si="0"/>
        <v>0</v>
      </c>
      <c r="R7">
        <f t="shared" si="6"/>
        <v>0</v>
      </c>
    </row>
    <row r="8" spans="2:18" hidden="1" x14ac:dyDescent="0.3">
      <c r="B8" t="s">
        <v>255</v>
      </c>
      <c r="C8">
        <v>32.799999999999997</v>
      </c>
      <c r="D8">
        <f>VLOOKUP(B8,[3]Sheet1!$A:$B,2,0)</f>
        <v>36.380000000000003</v>
      </c>
      <c r="E8">
        <v>36.380000000000003</v>
      </c>
      <c r="F8" t="b">
        <f t="shared" si="1"/>
        <v>1</v>
      </c>
      <c r="G8">
        <f>VLOOKUP(B8,Sheet5!$A8:$C64,3,0)</f>
        <v>36.380000000000003</v>
      </c>
      <c r="H8">
        <f t="shared" si="2"/>
        <v>0</v>
      </c>
      <c r="I8">
        <v>-3.5800000000000054</v>
      </c>
      <c r="J8">
        <f>VLOOKUP(B8,Sheet5!A9:B61,2,0)</f>
        <v>32.799999999999997</v>
      </c>
      <c r="K8">
        <f>VLOOKUP(B8,[2]Sheet2!$A:$F,6,0)</f>
        <v>36.380000000000003</v>
      </c>
      <c r="L8">
        <f>VLOOKUP(B8,[4]Sheet1!$A:$B,2,0)</f>
        <v>36.380000000000003</v>
      </c>
      <c r="M8">
        <f t="shared" si="4"/>
        <v>3.5800000000000054</v>
      </c>
      <c r="N8">
        <f t="shared" si="5"/>
        <v>0</v>
      </c>
      <c r="P8">
        <f t="shared" si="0"/>
        <v>0</v>
      </c>
      <c r="R8">
        <f t="shared" si="6"/>
        <v>0</v>
      </c>
    </row>
    <row r="9" spans="2:18" hidden="1" x14ac:dyDescent="0.3">
      <c r="B9" t="s">
        <v>236</v>
      </c>
      <c r="C9">
        <v>5.4</v>
      </c>
      <c r="D9">
        <v>0</v>
      </c>
      <c r="E9">
        <v>0</v>
      </c>
      <c r="F9" t="b">
        <f t="shared" si="1"/>
        <v>1</v>
      </c>
      <c r="G9">
        <f>VLOOKUP(B9,Sheet5!$A9:$C65,3,0)</f>
        <v>0</v>
      </c>
      <c r="H9">
        <f t="shared" si="2"/>
        <v>0</v>
      </c>
      <c r="I9">
        <v>5.4</v>
      </c>
      <c r="J9">
        <f>VLOOKUP(B9,Sheet5!A10:B62,2,0)</f>
        <v>5.4</v>
      </c>
      <c r="K9">
        <v>0</v>
      </c>
      <c r="L9">
        <v>0</v>
      </c>
      <c r="M9">
        <f t="shared" si="4"/>
        <v>-5.4</v>
      </c>
      <c r="N9">
        <f t="shared" si="5"/>
        <v>0</v>
      </c>
      <c r="P9">
        <f t="shared" si="0"/>
        <v>0</v>
      </c>
      <c r="R9">
        <f t="shared" si="6"/>
        <v>0</v>
      </c>
    </row>
    <row r="10" spans="2:18" x14ac:dyDescent="0.3">
      <c r="B10" s="53" t="s">
        <v>258</v>
      </c>
      <c r="C10" s="2">
        <v>918.49999999999989</v>
      </c>
      <c r="D10" s="2">
        <f>VLOOKUP(B10,[3]Sheet1!$A:$B,2,0)</f>
        <v>1202.4000000000001</v>
      </c>
      <c r="E10">
        <v>1035.4000000000001</v>
      </c>
      <c r="F10" t="b">
        <f t="shared" si="1"/>
        <v>0</v>
      </c>
      <c r="G10">
        <f>VLOOKUP(B10,Sheet5!$A10:$C66,3,0)</f>
        <v>1202.4000000000001</v>
      </c>
      <c r="H10">
        <f t="shared" si="2"/>
        <v>0</v>
      </c>
      <c r="I10">
        <v>-116.9000000000002</v>
      </c>
      <c r="J10">
        <f>VLOOKUP(B10,Sheet5!A11:B63,2,0)</f>
        <v>367.4</v>
      </c>
      <c r="K10">
        <f>VLOOKUP(B10,[2]Sheet2!$A:$F,6,0)</f>
        <v>517.70000000000005</v>
      </c>
      <c r="L10" s="2">
        <f>VLOOKUP(B10,[4]Sheet1!$A:$B,2,0)</f>
        <v>434.2</v>
      </c>
      <c r="M10">
        <f t="shared" si="4"/>
        <v>150.30000000000007</v>
      </c>
      <c r="N10">
        <f t="shared" si="5"/>
        <v>33.399999999999864</v>
      </c>
      <c r="O10">
        <f>N10/16.7</f>
        <v>1.999999999999992</v>
      </c>
      <c r="P10">
        <f>E10-K10</f>
        <v>517.70000000000005</v>
      </c>
      <c r="R10" s="2">
        <f>D10-L10</f>
        <v>768.2</v>
      </c>
    </row>
    <row r="11" spans="2:18" x14ac:dyDescent="0.3">
      <c r="B11" s="53" t="s">
        <v>257</v>
      </c>
      <c r="C11" s="2">
        <v>178.2</v>
      </c>
      <c r="D11" s="2">
        <f>VLOOKUP(B11,[3]Sheet1!$A:$B,2,0)</f>
        <v>250.86</v>
      </c>
      <c r="E11">
        <v>217.86</v>
      </c>
      <c r="F11" t="b">
        <f t="shared" si="1"/>
        <v>0</v>
      </c>
      <c r="G11">
        <f>VLOOKUP(B11,Sheet5!$A11:$C67,3,0)</f>
        <v>250.86</v>
      </c>
      <c r="H11">
        <f t="shared" si="2"/>
        <v>0</v>
      </c>
      <c r="I11">
        <v>-39.660000000000025</v>
      </c>
      <c r="J11">
        <f>VLOOKUP(B11,Sheet5!A12:B64,2,0)</f>
        <v>69.3</v>
      </c>
      <c r="K11">
        <f>VLOOKUP(B11,[2]Sheet2!$A:$F,6,0)</f>
        <v>115.56</v>
      </c>
      <c r="L11" s="2">
        <f>VLOOKUP(B11,[4]Sheet1!$A:$B,2,0)</f>
        <v>99.06</v>
      </c>
      <c r="M11">
        <f t="shared" si="4"/>
        <v>46.260000000000005</v>
      </c>
      <c r="N11">
        <f t="shared" si="5"/>
        <v>6.5999999999999801</v>
      </c>
      <c r="O11">
        <f>N11/3.3</f>
        <v>1.999999999999994</v>
      </c>
      <c r="P11">
        <f t="shared" ref="P11:P58" si="7">E11-K11</f>
        <v>102.30000000000001</v>
      </c>
      <c r="R11" s="2">
        <f t="shared" ref="R11:R14" si="8">D11-L11</f>
        <v>151.80000000000001</v>
      </c>
    </row>
    <row r="12" spans="2:18" x14ac:dyDescent="0.3">
      <c r="B12" s="53" t="s">
        <v>186</v>
      </c>
      <c r="C12" s="2">
        <v>835</v>
      </c>
      <c r="D12" s="2">
        <f>VLOOKUP(B12,[3]Sheet1!$A:$B,2,0)</f>
        <v>317.3</v>
      </c>
      <c r="E12">
        <v>317.3</v>
      </c>
      <c r="F12" t="b">
        <f t="shared" si="1"/>
        <v>1</v>
      </c>
      <c r="G12">
        <f>VLOOKUP(B12,Sheet5!$A12:$C68,3,0)</f>
        <v>317.3</v>
      </c>
      <c r="H12">
        <f t="shared" si="2"/>
        <v>0</v>
      </c>
      <c r="I12">
        <v>517.70000000000005</v>
      </c>
      <c r="J12">
        <f>VLOOKUP(B12,Sheet5!A13:B65,2,0)</f>
        <v>751.5</v>
      </c>
      <c r="K12">
        <f>VLOOKUP(B12,[2]Sheet2!$A:$F,6,0)</f>
        <v>233.8</v>
      </c>
      <c r="L12" s="2">
        <f>VLOOKUP(B12,[4]Sheet1!$A:$B,2,0)</f>
        <v>233.8</v>
      </c>
      <c r="M12">
        <f t="shared" si="4"/>
        <v>-517.70000000000005</v>
      </c>
      <c r="N12">
        <f t="shared" si="5"/>
        <v>0</v>
      </c>
      <c r="P12">
        <f t="shared" si="7"/>
        <v>83.5</v>
      </c>
      <c r="R12" s="2">
        <f t="shared" si="8"/>
        <v>83.5</v>
      </c>
    </row>
    <row r="13" spans="2:18" x14ac:dyDescent="0.3">
      <c r="B13" s="53" t="s">
        <v>230</v>
      </c>
      <c r="C13" s="2">
        <v>171.59999999999997</v>
      </c>
      <c r="D13" s="2">
        <f>VLOOKUP(B13,[3]Sheet1!$A:$B,2,0)</f>
        <v>52.8</v>
      </c>
      <c r="E13">
        <v>52.8</v>
      </c>
      <c r="F13" t="b">
        <f t="shared" si="1"/>
        <v>1</v>
      </c>
      <c r="G13">
        <f>VLOOKUP(B13,Sheet5!$A13:$C69,3,0)</f>
        <v>52.8</v>
      </c>
      <c r="H13">
        <f t="shared" si="2"/>
        <v>0</v>
      </c>
      <c r="I13">
        <v>118.79999999999997</v>
      </c>
      <c r="J13">
        <f>VLOOKUP(B13,Sheet5!A14:B66,2,0)</f>
        <v>155.1</v>
      </c>
      <c r="K13">
        <f>VLOOKUP(B13,[2]Sheet2!$A:$F,6,0)</f>
        <v>36.299999999999997</v>
      </c>
      <c r="L13" s="2">
        <f>VLOOKUP(B13,[4]Sheet1!$A:$B,2,0)</f>
        <v>36.299999999999997</v>
      </c>
      <c r="M13">
        <f t="shared" si="4"/>
        <v>-118.8</v>
      </c>
      <c r="N13">
        <f t="shared" si="5"/>
        <v>0</v>
      </c>
      <c r="P13">
        <f t="shared" si="7"/>
        <v>16.5</v>
      </c>
      <c r="R13" s="2">
        <f t="shared" si="8"/>
        <v>16.5</v>
      </c>
    </row>
    <row r="14" spans="2:18" x14ac:dyDescent="0.3">
      <c r="B14" s="53" t="s">
        <v>273</v>
      </c>
      <c r="C14" s="2">
        <v>117.67</v>
      </c>
      <c r="D14" s="2">
        <f>VLOOKUP(B14,[3]Sheet1!$A:$B,2,0)</f>
        <v>236.7</v>
      </c>
      <c r="E14">
        <v>169.5</v>
      </c>
      <c r="F14" t="b">
        <f t="shared" si="1"/>
        <v>0</v>
      </c>
      <c r="G14">
        <f>VLOOKUP(B14,Sheet5!$A14:$C70,3,0)</f>
        <v>236.7</v>
      </c>
      <c r="H14">
        <f t="shared" si="2"/>
        <v>0</v>
      </c>
      <c r="I14">
        <v>-51.83</v>
      </c>
      <c r="J14">
        <f>VLOOKUP(B14,Sheet5!A15:B67,2,0)</f>
        <v>0</v>
      </c>
      <c r="K14">
        <f>VLOOKUP(B14,[2]Sheet2!$A:$F,6,0)</f>
        <v>51.9</v>
      </c>
      <c r="L14" s="2">
        <f>VLOOKUP(B14,[4]Sheet1!$A:$B,2,0)</f>
        <v>35.1</v>
      </c>
      <c r="M14">
        <f t="shared" si="4"/>
        <v>51.9</v>
      </c>
      <c r="N14">
        <f t="shared" si="5"/>
        <v>7.0000000000000284E-2</v>
      </c>
      <c r="P14">
        <f t="shared" si="7"/>
        <v>117.6</v>
      </c>
      <c r="R14" s="2">
        <f t="shared" si="8"/>
        <v>201.6</v>
      </c>
    </row>
    <row r="15" spans="2:18" hidden="1" x14ac:dyDescent="0.3">
      <c r="B15" t="s">
        <v>270</v>
      </c>
      <c r="C15">
        <v>50.420999999999992</v>
      </c>
      <c r="D15">
        <v>0</v>
      </c>
      <c r="E15">
        <v>0</v>
      </c>
      <c r="F15" t="b">
        <f t="shared" si="1"/>
        <v>1</v>
      </c>
      <c r="G15">
        <f>VLOOKUP(B15,Sheet5!$A15:$C71,3,0)</f>
        <v>0</v>
      </c>
      <c r="H15">
        <f t="shared" si="2"/>
        <v>0</v>
      </c>
      <c r="I15">
        <v>50.420999999999992</v>
      </c>
      <c r="J15">
        <f>VLOOKUP(B15,Sheet5!A16:B68,2,0)</f>
        <v>50.420999999999992</v>
      </c>
      <c r="K15">
        <v>0</v>
      </c>
      <c r="L15">
        <v>0</v>
      </c>
      <c r="M15">
        <f t="shared" si="4"/>
        <v>-50.420999999999992</v>
      </c>
      <c r="N15">
        <f t="shared" si="5"/>
        <v>0</v>
      </c>
      <c r="P15">
        <f t="shared" si="7"/>
        <v>0</v>
      </c>
      <c r="R15">
        <f t="shared" si="6"/>
        <v>0</v>
      </c>
    </row>
    <row r="16" spans="2:18" hidden="1" x14ac:dyDescent="0.3">
      <c r="B16" t="s">
        <v>239</v>
      </c>
      <c r="C16">
        <v>18.170000000000002</v>
      </c>
      <c r="D16">
        <v>0</v>
      </c>
      <c r="E16">
        <v>0</v>
      </c>
      <c r="F16" t="b">
        <f t="shared" si="1"/>
        <v>1</v>
      </c>
      <c r="G16">
        <f>VLOOKUP(B16,Sheet5!$A16:$C72,3,0)</f>
        <v>0</v>
      </c>
      <c r="H16">
        <f t="shared" si="2"/>
        <v>0</v>
      </c>
      <c r="I16">
        <v>18.170000000000002</v>
      </c>
      <c r="J16">
        <f>VLOOKUP(B16,Sheet5!A17:B69,2,0)</f>
        <v>18.170000000000002</v>
      </c>
      <c r="K16">
        <v>0</v>
      </c>
      <c r="L16">
        <v>0</v>
      </c>
      <c r="M16">
        <f t="shared" si="4"/>
        <v>-18.170000000000002</v>
      </c>
      <c r="N16">
        <f t="shared" si="5"/>
        <v>0</v>
      </c>
      <c r="P16">
        <f t="shared" si="7"/>
        <v>0</v>
      </c>
      <c r="R16">
        <f t="shared" si="6"/>
        <v>0</v>
      </c>
    </row>
    <row r="17" spans="2:18" hidden="1" x14ac:dyDescent="0.3">
      <c r="B17" t="s">
        <v>232</v>
      </c>
      <c r="C17">
        <v>618.79999999999995</v>
      </c>
      <c r="D17">
        <v>0</v>
      </c>
      <c r="E17">
        <v>0</v>
      </c>
      <c r="F17" t="b">
        <f t="shared" si="1"/>
        <v>1</v>
      </c>
      <c r="G17">
        <f>VLOOKUP(B17,Sheet5!$A17:$C73,3,0)</f>
        <v>0</v>
      </c>
      <c r="H17">
        <f t="shared" si="2"/>
        <v>0</v>
      </c>
      <c r="I17">
        <v>618.79999999999995</v>
      </c>
      <c r="J17">
        <f>VLOOKUP(B17,Sheet5!A18:B70,2,0)</f>
        <v>618.79999999999995</v>
      </c>
      <c r="K17">
        <v>0</v>
      </c>
      <c r="L17">
        <v>0</v>
      </c>
      <c r="M17">
        <f t="shared" si="4"/>
        <v>-618.79999999999995</v>
      </c>
      <c r="N17">
        <f t="shared" si="5"/>
        <v>0</v>
      </c>
      <c r="P17">
        <f t="shared" si="7"/>
        <v>0</v>
      </c>
      <c r="R17">
        <f t="shared" si="6"/>
        <v>0</v>
      </c>
    </row>
    <row r="18" spans="2:18" x14ac:dyDescent="0.3">
      <c r="B18" s="53" t="s">
        <v>190</v>
      </c>
      <c r="C18" s="2">
        <v>18</v>
      </c>
      <c r="D18" s="2">
        <f>VLOOKUP(B18,[3]Sheet1!$A:$B,2,0)</f>
        <v>23.4</v>
      </c>
      <c r="E18">
        <v>16.2</v>
      </c>
      <c r="F18" t="b">
        <f t="shared" si="1"/>
        <v>0</v>
      </c>
      <c r="G18">
        <f>VLOOKUP(B18,Sheet5!$A18:$C74,3,0)</f>
        <v>23.4</v>
      </c>
      <c r="H18">
        <f t="shared" si="2"/>
        <v>0</v>
      </c>
      <c r="I18">
        <v>1.8000000000000007</v>
      </c>
      <c r="J18">
        <f>VLOOKUP(B18,Sheet5!A19:B71,2,0)</f>
        <v>5.4</v>
      </c>
      <c r="K18">
        <f>VLOOKUP(B18,[2]Sheet2!$A:$F,6,0)</f>
        <v>3.6</v>
      </c>
      <c r="L18" s="2">
        <f>VLOOKUP(B18,[4]Sheet1!$A:$B,2,0)</f>
        <v>1.8</v>
      </c>
      <c r="M18">
        <f t="shared" si="4"/>
        <v>-1.8000000000000003</v>
      </c>
      <c r="N18">
        <f t="shared" si="5"/>
        <v>0</v>
      </c>
      <c r="P18">
        <f t="shared" si="7"/>
        <v>12.6</v>
      </c>
      <c r="R18" s="2">
        <f>D18-L18</f>
        <v>21.599999999999998</v>
      </c>
    </row>
    <row r="19" spans="2:18" hidden="1" x14ac:dyDescent="0.3">
      <c r="B19" t="s">
        <v>181</v>
      </c>
      <c r="C19">
        <v>1.8</v>
      </c>
      <c r="D19">
        <v>0</v>
      </c>
      <c r="E19">
        <v>0</v>
      </c>
      <c r="F19" t="b">
        <f t="shared" si="1"/>
        <v>1</v>
      </c>
      <c r="G19">
        <f>VLOOKUP(B19,Sheet5!$A19:$C75,3,0)</f>
        <v>0</v>
      </c>
      <c r="H19">
        <f t="shared" si="2"/>
        <v>0</v>
      </c>
      <c r="I19">
        <v>1.8</v>
      </c>
      <c r="J19">
        <f>VLOOKUP(B19,Sheet5!A20:B72,2,0)</f>
        <v>1.8</v>
      </c>
      <c r="K19">
        <v>0</v>
      </c>
      <c r="L19">
        <v>0</v>
      </c>
      <c r="M19">
        <f t="shared" si="4"/>
        <v>-1.8</v>
      </c>
      <c r="N19">
        <f t="shared" si="5"/>
        <v>0</v>
      </c>
      <c r="P19">
        <f t="shared" si="7"/>
        <v>0</v>
      </c>
      <c r="R19">
        <f t="shared" si="6"/>
        <v>0</v>
      </c>
    </row>
    <row r="20" spans="2:18" hidden="1" x14ac:dyDescent="0.3">
      <c r="B20" t="s">
        <v>235</v>
      </c>
      <c r="C20">
        <v>54</v>
      </c>
      <c r="D20">
        <v>0</v>
      </c>
      <c r="E20">
        <v>0</v>
      </c>
      <c r="F20" t="b">
        <f t="shared" si="1"/>
        <v>1</v>
      </c>
      <c r="G20">
        <f>VLOOKUP(B20,Sheet5!$A20:$C76,3,0)</f>
        <v>0</v>
      </c>
      <c r="H20">
        <f t="shared" si="2"/>
        <v>0</v>
      </c>
      <c r="I20">
        <v>54</v>
      </c>
      <c r="J20">
        <f>VLOOKUP(B20,Sheet5!A21:B73,2,0)</f>
        <v>54</v>
      </c>
      <c r="K20">
        <v>0</v>
      </c>
      <c r="L20">
        <v>0</v>
      </c>
      <c r="M20">
        <f t="shared" si="4"/>
        <v>-54</v>
      </c>
      <c r="N20">
        <f t="shared" si="5"/>
        <v>0</v>
      </c>
      <c r="P20">
        <f t="shared" si="7"/>
        <v>0</v>
      </c>
      <c r="R20">
        <f t="shared" si="6"/>
        <v>0</v>
      </c>
    </row>
    <row r="21" spans="2:18" x14ac:dyDescent="0.3">
      <c r="B21" s="53" t="s">
        <v>269</v>
      </c>
      <c r="C21" s="2">
        <v>752.93999999999994</v>
      </c>
      <c r="D21" s="2">
        <f>VLOOKUP(B21,[3]Sheet1!$A:$B,2,0)</f>
        <v>1118.72</v>
      </c>
      <c r="E21">
        <v>749.90000000000009</v>
      </c>
      <c r="F21" t="b">
        <f t="shared" si="1"/>
        <v>0</v>
      </c>
      <c r="G21">
        <f>VLOOKUP(B21,Sheet5!$A21:$C77,3,0)</f>
        <v>1118.72</v>
      </c>
      <c r="H21">
        <f t="shared" si="2"/>
        <v>0</v>
      </c>
      <c r="I21">
        <v>3.0399999999998499</v>
      </c>
      <c r="J21">
        <f>VLOOKUP(B21,Sheet5!A22:B74,2,0)</f>
        <v>320.39999999999998</v>
      </c>
      <c r="K21">
        <f>VLOOKUP(B21,[2]Sheet2!$A:$F,6,0)</f>
        <v>315.56</v>
      </c>
      <c r="L21" s="2">
        <f>VLOOKUP(B21,[4]Sheet1!$A:$B,2,0)</f>
        <v>315.56</v>
      </c>
      <c r="M21">
        <f t="shared" si="4"/>
        <v>-4.839999999999975</v>
      </c>
      <c r="N21">
        <f t="shared" si="5"/>
        <v>-1.8000000000001251</v>
      </c>
      <c r="P21">
        <f t="shared" si="7"/>
        <v>434.34000000000009</v>
      </c>
      <c r="R21" s="2">
        <f t="shared" ref="R21:R22" si="9">D21-L21</f>
        <v>803.16000000000008</v>
      </c>
    </row>
    <row r="22" spans="2:18" x14ac:dyDescent="0.3">
      <c r="B22" s="53" t="s">
        <v>271</v>
      </c>
      <c r="C22" s="2">
        <v>101.20000000000002</v>
      </c>
      <c r="D22" s="2">
        <f>VLOOKUP(B22,[3]Sheet1!$A:$B,2,0)</f>
        <v>151.80000000000001</v>
      </c>
      <c r="E22">
        <v>101.20000000000002</v>
      </c>
      <c r="F22" t="b">
        <f t="shared" si="1"/>
        <v>0</v>
      </c>
      <c r="G22">
        <f>VLOOKUP(B22,Sheet5!$A22:$C78,3,0)</f>
        <v>151.80000000000001</v>
      </c>
      <c r="H22">
        <f t="shared" si="2"/>
        <v>0</v>
      </c>
      <c r="I22">
        <v>0</v>
      </c>
      <c r="J22">
        <f>VLOOKUP(B22,Sheet5!A23:B75,2,0)</f>
        <v>41.8</v>
      </c>
      <c r="K22">
        <f>VLOOKUP(B22,[2]Sheet2!$A:$F,6,0)</f>
        <v>41.8</v>
      </c>
      <c r="L22" s="2">
        <f>VLOOKUP(B22,[4]Sheet1!$A:$B,2,0)</f>
        <v>41.8</v>
      </c>
      <c r="M22">
        <f t="shared" si="4"/>
        <v>0</v>
      </c>
      <c r="N22">
        <f t="shared" si="5"/>
        <v>0</v>
      </c>
      <c r="P22">
        <f t="shared" si="7"/>
        <v>59.40000000000002</v>
      </c>
      <c r="R22" s="2">
        <f t="shared" si="9"/>
        <v>110.00000000000001</v>
      </c>
    </row>
    <row r="23" spans="2:18" hidden="1" x14ac:dyDescent="0.3">
      <c r="B23" t="s">
        <v>272</v>
      </c>
      <c r="C23">
        <v>17.77</v>
      </c>
      <c r="D23">
        <f>VLOOKUP(B23,[3]Sheet1!$A:$B,2,0)</f>
        <v>17.77</v>
      </c>
      <c r="E23">
        <v>17.77</v>
      </c>
      <c r="F23" t="b">
        <f t="shared" si="1"/>
        <v>1</v>
      </c>
      <c r="G23">
        <f>VLOOKUP(B23,Sheet5!$A23:$C79,3,0)</f>
        <v>17.77</v>
      </c>
      <c r="H23">
        <f t="shared" si="2"/>
        <v>0</v>
      </c>
      <c r="I23">
        <v>0</v>
      </c>
      <c r="J23">
        <f>VLOOKUP(B23,Sheet5!A24:B76,2,0)</f>
        <v>17.77</v>
      </c>
      <c r="K23">
        <f>VLOOKUP(B23,[2]Sheet2!$A:$F,6,0)</f>
        <v>17.77</v>
      </c>
      <c r="L23">
        <f>VLOOKUP(B23,[4]Sheet1!$A:$B,2,0)</f>
        <v>17.77</v>
      </c>
      <c r="M23">
        <f t="shared" si="4"/>
        <v>0</v>
      </c>
      <c r="N23">
        <f t="shared" si="5"/>
        <v>0</v>
      </c>
      <c r="P23">
        <f t="shared" si="7"/>
        <v>0</v>
      </c>
      <c r="R23">
        <f t="shared" si="6"/>
        <v>0</v>
      </c>
    </row>
    <row r="24" spans="2:18" hidden="1" x14ac:dyDescent="0.3">
      <c r="B24" t="s">
        <v>227</v>
      </c>
      <c r="C24">
        <v>213.2</v>
      </c>
      <c r="D24">
        <v>0</v>
      </c>
      <c r="E24">
        <v>0</v>
      </c>
      <c r="F24" t="b">
        <f t="shared" si="1"/>
        <v>1</v>
      </c>
      <c r="G24">
        <f>VLOOKUP(B24,Sheet5!$A24:$C80,3,0)</f>
        <v>0</v>
      </c>
      <c r="H24">
        <f t="shared" si="2"/>
        <v>0</v>
      </c>
      <c r="I24">
        <v>213.2</v>
      </c>
      <c r="J24">
        <f>VLOOKUP(B24,Sheet5!A25:B77,2,0)</f>
        <v>213.2</v>
      </c>
      <c r="K24">
        <v>0</v>
      </c>
      <c r="L24">
        <v>0</v>
      </c>
      <c r="M24">
        <f t="shared" si="4"/>
        <v>-213.2</v>
      </c>
      <c r="N24">
        <f t="shared" si="5"/>
        <v>0</v>
      </c>
      <c r="P24">
        <f t="shared" si="7"/>
        <v>0</v>
      </c>
      <c r="R24">
        <f t="shared" si="6"/>
        <v>0</v>
      </c>
    </row>
    <row r="25" spans="2:18" hidden="1" x14ac:dyDescent="0.3">
      <c r="B25" t="s">
        <v>228</v>
      </c>
      <c r="C25">
        <v>14.4</v>
      </c>
      <c r="D25">
        <v>0</v>
      </c>
      <c r="E25">
        <v>0</v>
      </c>
      <c r="F25" t="b">
        <f t="shared" si="1"/>
        <v>1</v>
      </c>
      <c r="G25">
        <f>VLOOKUP(B25,Sheet5!$A25:$C81,3,0)</f>
        <v>0</v>
      </c>
      <c r="H25">
        <f t="shared" si="2"/>
        <v>0</v>
      </c>
      <c r="I25">
        <v>14.4</v>
      </c>
      <c r="J25">
        <f>VLOOKUP(B25,Sheet5!A26:B78,2,0)</f>
        <v>14.4</v>
      </c>
      <c r="K25">
        <v>0</v>
      </c>
      <c r="L25">
        <v>0</v>
      </c>
      <c r="M25">
        <f t="shared" si="4"/>
        <v>-14.4</v>
      </c>
      <c r="N25">
        <f t="shared" si="5"/>
        <v>0</v>
      </c>
      <c r="P25">
        <f t="shared" si="7"/>
        <v>0</v>
      </c>
      <c r="R25">
        <f t="shared" si="6"/>
        <v>0</v>
      </c>
    </row>
    <row r="26" spans="2:18" hidden="1" x14ac:dyDescent="0.3">
      <c r="B26" t="s">
        <v>233</v>
      </c>
      <c r="C26">
        <v>245.99999999999997</v>
      </c>
      <c r="D26">
        <v>0</v>
      </c>
      <c r="E26">
        <v>0</v>
      </c>
      <c r="F26" t="b">
        <f t="shared" si="1"/>
        <v>1</v>
      </c>
      <c r="G26">
        <f>VLOOKUP(B26,Sheet5!$A26:$C82,3,0)</f>
        <v>0</v>
      </c>
      <c r="H26">
        <f t="shared" si="2"/>
        <v>0</v>
      </c>
      <c r="I26">
        <v>245.99999999999997</v>
      </c>
      <c r="J26">
        <f>VLOOKUP(B26,Sheet5!A27:B79,2,0)</f>
        <v>245.99999999999997</v>
      </c>
      <c r="K26">
        <v>0</v>
      </c>
      <c r="L26">
        <v>0</v>
      </c>
      <c r="M26">
        <f t="shared" si="4"/>
        <v>-245.99999999999997</v>
      </c>
      <c r="N26">
        <f t="shared" si="5"/>
        <v>0</v>
      </c>
      <c r="P26">
        <f t="shared" si="7"/>
        <v>0</v>
      </c>
      <c r="R26">
        <f t="shared" si="6"/>
        <v>0</v>
      </c>
    </row>
    <row r="27" spans="2:18" hidden="1" x14ac:dyDescent="0.3">
      <c r="B27" t="s">
        <v>229</v>
      </c>
      <c r="C27">
        <v>86.4</v>
      </c>
      <c r="D27">
        <v>0</v>
      </c>
      <c r="E27">
        <v>0</v>
      </c>
      <c r="F27" t="b">
        <f t="shared" si="1"/>
        <v>1</v>
      </c>
      <c r="G27">
        <f>VLOOKUP(B27,Sheet5!$A27:$C83,3,0)</f>
        <v>0</v>
      </c>
      <c r="H27">
        <f t="shared" si="2"/>
        <v>0</v>
      </c>
      <c r="I27">
        <v>86.4</v>
      </c>
      <c r="J27">
        <f>VLOOKUP(B27,Sheet5!A28:B80,2,0)</f>
        <v>86.4</v>
      </c>
      <c r="K27">
        <v>0</v>
      </c>
      <c r="L27">
        <v>0</v>
      </c>
      <c r="M27">
        <f t="shared" si="4"/>
        <v>-86.4</v>
      </c>
      <c r="N27">
        <f t="shared" si="5"/>
        <v>0</v>
      </c>
      <c r="P27">
        <f t="shared" si="7"/>
        <v>0</v>
      </c>
      <c r="R27">
        <f t="shared" si="6"/>
        <v>0</v>
      </c>
    </row>
    <row r="28" spans="2:18" x14ac:dyDescent="0.3">
      <c r="B28" s="53" t="s">
        <v>249</v>
      </c>
      <c r="C28" s="2">
        <v>820</v>
      </c>
      <c r="D28" s="2">
        <f>VLOOKUP(B28,[3]Sheet1!$A:$B,2,0)</f>
        <v>1110</v>
      </c>
      <c r="E28">
        <v>923.40000000000009</v>
      </c>
      <c r="F28" t="b">
        <f t="shared" si="1"/>
        <v>0</v>
      </c>
      <c r="G28">
        <f>VLOOKUP(B28,Sheet5!$A28:$C84,3,0)</f>
        <v>1123.4000000000001</v>
      </c>
      <c r="H28">
        <f t="shared" si="2"/>
        <v>-13.400000000000091</v>
      </c>
      <c r="I28">
        <v>-103.40000000000009</v>
      </c>
      <c r="J28">
        <f>VLOOKUP(B28,Sheet5!A29:B81,2,0)</f>
        <v>300</v>
      </c>
      <c r="K28">
        <f>VLOOKUP(B28,[2]Sheet2!$A:$F,6,0)</f>
        <v>430</v>
      </c>
      <c r="L28" s="2">
        <f>VLOOKUP(B28,[4]Sheet1!$A:$B,2,0)</f>
        <v>390</v>
      </c>
      <c r="M28">
        <f t="shared" si="4"/>
        <v>130</v>
      </c>
      <c r="N28">
        <f t="shared" si="5"/>
        <v>26.599999999999909</v>
      </c>
      <c r="P28">
        <f t="shared" si="7"/>
        <v>493.40000000000009</v>
      </c>
      <c r="R28" s="2">
        <f t="shared" ref="R28:R29" si="10">D28-L28</f>
        <v>720</v>
      </c>
    </row>
    <row r="29" spans="2:18" x14ac:dyDescent="0.3">
      <c r="B29" s="53" t="s">
        <v>218</v>
      </c>
      <c r="C29" s="2">
        <v>1575</v>
      </c>
      <c r="D29" s="2">
        <f>VLOOKUP(B29,[3]Sheet1!$A:$B,2,0)</f>
        <v>1569.9</v>
      </c>
      <c r="E29">
        <v>1101.8399999999999</v>
      </c>
      <c r="F29" t="b">
        <f t="shared" si="1"/>
        <v>0</v>
      </c>
      <c r="G29">
        <f>VLOOKUP(B29,Sheet5!$A29:$C85,3,0)</f>
        <v>1541.84</v>
      </c>
      <c r="H29">
        <f t="shared" si="2"/>
        <v>28.060000000000173</v>
      </c>
      <c r="I29">
        <v>473.16000000000008</v>
      </c>
      <c r="J29">
        <f>VLOOKUP(B29,Sheet5!A30:B82,2,0)</f>
        <v>735</v>
      </c>
      <c r="K29">
        <f>VLOOKUP(B29,[2]Sheet2!$A:$F,6,0)</f>
        <v>229.9</v>
      </c>
      <c r="L29" s="2">
        <f>VLOOKUP(B29,[4]Sheet1!$A:$B,2,0)</f>
        <v>169.9</v>
      </c>
      <c r="M29">
        <f t="shared" si="4"/>
        <v>-505.1</v>
      </c>
      <c r="N29">
        <f t="shared" si="5"/>
        <v>-31.939999999999941</v>
      </c>
      <c r="P29">
        <f t="shared" si="7"/>
        <v>871.93999999999994</v>
      </c>
      <c r="R29" s="2">
        <f t="shared" si="10"/>
        <v>1400</v>
      </c>
    </row>
    <row r="30" spans="2:18" hidden="1" x14ac:dyDescent="0.3">
      <c r="B30" t="s">
        <v>207</v>
      </c>
      <c r="C30">
        <v>20</v>
      </c>
      <c r="D30">
        <v>0</v>
      </c>
      <c r="E30">
        <v>0</v>
      </c>
      <c r="F30" t="b">
        <f t="shared" si="1"/>
        <v>1</v>
      </c>
      <c r="G30">
        <f>VLOOKUP(B30,Sheet5!$A30:$C86,3,0)</f>
        <v>0</v>
      </c>
      <c r="H30">
        <f t="shared" si="2"/>
        <v>0</v>
      </c>
      <c r="I30">
        <v>20</v>
      </c>
      <c r="J30">
        <f>VLOOKUP(B30,Sheet5!A31:B83,2,0)</f>
        <v>20</v>
      </c>
      <c r="K30">
        <v>0</v>
      </c>
      <c r="L30">
        <v>0</v>
      </c>
      <c r="M30">
        <f t="shared" si="4"/>
        <v>-20</v>
      </c>
      <c r="N30">
        <f t="shared" si="5"/>
        <v>0</v>
      </c>
      <c r="P30">
        <f t="shared" si="7"/>
        <v>0</v>
      </c>
      <c r="R30">
        <f t="shared" si="6"/>
        <v>0</v>
      </c>
    </row>
    <row r="31" spans="2:18" hidden="1" x14ac:dyDescent="0.3">
      <c r="B31" t="s">
        <v>264</v>
      </c>
      <c r="C31">
        <v>7.8000000000000007</v>
      </c>
      <c r="D31">
        <v>0</v>
      </c>
      <c r="E31">
        <v>0</v>
      </c>
      <c r="F31" t="b">
        <f t="shared" si="1"/>
        <v>1</v>
      </c>
      <c r="G31">
        <f>VLOOKUP(B31,Sheet5!$A31:$C87,3,0)</f>
        <v>0</v>
      </c>
      <c r="H31">
        <f t="shared" si="2"/>
        <v>0</v>
      </c>
      <c r="I31">
        <v>7.8000000000000007</v>
      </c>
      <c r="J31">
        <f>VLOOKUP(B31,Sheet5!A32:B84,2,0)</f>
        <v>7.8000000000000007</v>
      </c>
      <c r="K31">
        <v>0</v>
      </c>
      <c r="L31">
        <v>0</v>
      </c>
      <c r="M31">
        <f t="shared" si="4"/>
        <v>-7.8000000000000007</v>
      </c>
      <c r="N31">
        <f t="shared" si="5"/>
        <v>0</v>
      </c>
      <c r="P31">
        <f t="shared" si="7"/>
        <v>0</v>
      </c>
      <c r="R31">
        <f t="shared" si="6"/>
        <v>0</v>
      </c>
    </row>
    <row r="32" spans="2:18" x14ac:dyDescent="0.3">
      <c r="B32" s="53" t="s">
        <v>175</v>
      </c>
      <c r="C32" s="2">
        <v>285</v>
      </c>
      <c r="D32" s="2">
        <f>VLOOKUP(B32,[3]Sheet1!$A:$B,2,0)</f>
        <v>237</v>
      </c>
      <c r="E32">
        <v>228</v>
      </c>
      <c r="F32" t="b">
        <f t="shared" si="1"/>
        <v>0</v>
      </c>
      <c r="G32">
        <f>VLOOKUP(B32,Sheet5!$A32:$C88,3,0)</f>
        <v>237</v>
      </c>
      <c r="H32">
        <f t="shared" si="2"/>
        <v>0</v>
      </c>
      <c r="I32">
        <v>57</v>
      </c>
      <c r="J32">
        <f>VLOOKUP(B32,Sheet5!A33:B85,2,0)</f>
        <v>262.5</v>
      </c>
      <c r="K32">
        <f>VLOOKUP(B32,[2]Sheet2!$A:$F,6,0)</f>
        <v>205.5</v>
      </c>
      <c r="L32" s="2">
        <f>VLOOKUP(B32,[4]Sheet1!$A:$B,2,0)</f>
        <v>205.5</v>
      </c>
      <c r="M32">
        <f t="shared" si="4"/>
        <v>-57</v>
      </c>
      <c r="N32">
        <f t="shared" si="5"/>
        <v>0</v>
      </c>
      <c r="P32">
        <f t="shared" si="7"/>
        <v>22.5</v>
      </c>
      <c r="R32" s="2">
        <f t="shared" ref="R32:R41" si="11">D32-L32</f>
        <v>31.5</v>
      </c>
    </row>
    <row r="33" spans="2:18" x14ac:dyDescent="0.3">
      <c r="B33" s="53" t="s">
        <v>188</v>
      </c>
      <c r="C33" s="2">
        <v>48.75</v>
      </c>
      <c r="D33" s="2">
        <f>VLOOKUP(B33,[3]Sheet1!$A:$B,2,0)</f>
        <v>38.200000000000003</v>
      </c>
      <c r="E33">
        <v>36.950000000000003</v>
      </c>
      <c r="F33" t="b">
        <f t="shared" si="1"/>
        <v>0</v>
      </c>
      <c r="G33">
        <f>VLOOKUP(B33,Sheet5!$A33:$C89,3,0)</f>
        <v>38.200000000000003</v>
      </c>
      <c r="H33">
        <f t="shared" si="2"/>
        <v>0</v>
      </c>
      <c r="I33">
        <v>11.799999999999997</v>
      </c>
      <c r="J33">
        <f>VLOOKUP(B33,Sheet5!A34:B86,2,0)</f>
        <v>45</v>
      </c>
      <c r="K33">
        <f>VLOOKUP(B33,[2]Sheet2!$A:$F,6,0)</f>
        <v>33.200000000000003</v>
      </c>
      <c r="L33" s="2">
        <f>VLOOKUP(B33,[4]Sheet1!$A:$B,2,0)</f>
        <v>33.200000000000003</v>
      </c>
      <c r="M33">
        <f t="shared" si="4"/>
        <v>-11.799999999999997</v>
      </c>
      <c r="N33">
        <f t="shared" si="5"/>
        <v>0</v>
      </c>
      <c r="P33">
        <f t="shared" si="7"/>
        <v>3.75</v>
      </c>
      <c r="R33" s="2">
        <f t="shared" si="11"/>
        <v>5</v>
      </c>
    </row>
    <row r="34" spans="2:18" x14ac:dyDescent="0.3">
      <c r="B34" s="53" t="s">
        <v>183</v>
      </c>
      <c r="C34" s="2">
        <v>672</v>
      </c>
      <c r="D34" s="2">
        <f>VLOOKUP(B34,[3]Sheet1!$A:$B,2,0)</f>
        <v>464</v>
      </c>
      <c r="E34">
        <v>464</v>
      </c>
      <c r="F34" t="b">
        <f t="shared" si="1"/>
        <v>1</v>
      </c>
      <c r="G34">
        <f>VLOOKUP(B34,Sheet5!$A34:$C90,3,0)</f>
        <v>464</v>
      </c>
      <c r="H34">
        <f t="shared" si="2"/>
        <v>0</v>
      </c>
      <c r="I34">
        <v>208</v>
      </c>
      <c r="J34">
        <f>VLOOKUP(B34,Sheet5!A35:B87,2,0)</f>
        <v>596</v>
      </c>
      <c r="K34">
        <f>VLOOKUP(B34,[2]Sheet2!$A:$F,6,0)</f>
        <v>352</v>
      </c>
      <c r="L34" s="2">
        <f>VLOOKUP(B34,[4]Sheet1!$A:$B,2,0)</f>
        <v>352</v>
      </c>
      <c r="M34">
        <f t="shared" si="4"/>
        <v>-244</v>
      </c>
      <c r="N34">
        <f t="shared" si="5"/>
        <v>-36</v>
      </c>
      <c r="O34">
        <f>N34/16</f>
        <v>-2.25</v>
      </c>
      <c r="P34">
        <f t="shared" si="7"/>
        <v>112</v>
      </c>
      <c r="R34" s="2">
        <f t="shared" si="11"/>
        <v>112</v>
      </c>
    </row>
    <row r="35" spans="2:18" x14ac:dyDescent="0.3">
      <c r="B35" s="53" t="s">
        <v>214</v>
      </c>
      <c r="C35" s="2">
        <v>92</v>
      </c>
      <c r="D35" s="2">
        <f>VLOOKUP(B35,[3]Sheet1!$A:$B,2,0)</f>
        <v>116</v>
      </c>
      <c r="E35">
        <v>116</v>
      </c>
      <c r="F35" t="b">
        <f t="shared" si="1"/>
        <v>1</v>
      </c>
      <c r="G35">
        <f>VLOOKUP(B35,Sheet5!$A35:$C91,3,0)</f>
        <v>116</v>
      </c>
      <c r="H35">
        <f t="shared" si="2"/>
        <v>0</v>
      </c>
      <c r="I35">
        <v>-24</v>
      </c>
      <c r="J35">
        <f>VLOOKUP(B35,Sheet5!A36:B88,2,0)</f>
        <v>64</v>
      </c>
      <c r="K35">
        <f>VLOOKUP(B35,[2]Sheet2!$A:$F,6,0)</f>
        <v>88</v>
      </c>
      <c r="L35" s="2">
        <f>VLOOKUP(B35,[4]Sheet1!$A:$B,2,0)</f>
        <v>88</v>
      </c>
      <c r="M35">
        <f t="shared" si="4"/>
        <v>24</v>
      </c>
      <c r="N35">
        <f t="shared" si="5"/>
        <v>0</v>
      </c>
      <c r="P35">
        <f t="shared" si="7"/>
        <v>28</v>
      </c>
      <c r="R35" s="2">
        <f t="shared" si="11"/>
        <v>28</v>
      </c>
    </row>
    <row r="36" spans="2:18" x14ac:dyDescent="0.3">
      <c r="B36" s="53" t="s">
        <v>247</v>
      </c>
      <c r="C36" s="2">
        <v>848</v>
      </c>
      <c r="D36" s="2">
        <f>VLOOKUP(B36,[3]Sheet1!$A:$B,2,0)</f>
        <v>1261.9000000000001</v>
      </c>
      <c r="E36">
        <v>797.90000000000009</v>
      </c>
      <c r="F36" t="b">
        <f t="shared" si="1"/>
        <v>0</v>
      </c>
      <c r="G36">
        <f>VLOOKUP(B36,Sheet5!$A36:$C92,3,0)</f>
        <v>1261.9000000000001</v>
      </c>
      <c r="H36">
        <f t="shared" si="2"/>
        <v>0</v>
      </c>
      <c r="I36">
        <v>50.099999999999909</v>
      </c>
      <c r="J36">
        <f>VLOOKUP(B36,Sheet5!A37:B89,2,0)</f>
        <v>368</v>
      </c>
      <c r="K36">
        <f>VLOOKUP(B36,[2]Sheet2!$A:$F,6,0)</f>
        <v>269.89999999999998</v>
      </c>
      <c r="L36" s="2">
        <f>VLOOKUP(B36,[4]Sheet1!$A:$B,2,0)</f>
        <v>269.89999999999998</v>
      </c>
      <c r="M36">
        <f t="shared" si="4"/>
        <v>-98.100000000000023</v>
      </c>
      <c r="N36">
        <f t="shared" si="5"/>
        <v>-48.000000000000114</v>
      </c>
      <c r="P36">
        <f t="shared" si="7"/>
        <v>528.00000000000011</v>
      </c>
      <c r="R36" s="2">
        <f t="shared" si="11"/>
        <v>992.00000000000011</v>
      </c>
    </row>
    <row r="37" spans="2:18" x14ac:dyDescent="0.3">
      <c r="B37" s="53" t="s">
        <v>250</v>
      </c>
      <c r="C37" s="2">
        <v>460</v>
      </c>
      <c r="D37" s="2">
        <f>VLOOKUP(B37,[3]Sheet1!$A:$B,2,0)</f>
        <v>334.1</v>
      </c>
      <c r="E37">
        <v>234.10000000000002</v>
      </c>
      <c r="F37" t="b">
        <f t="shared" si="1"/>
        <v>0</v>
      </c>
      <c r="G37">
        <f>VLOOKUP(B37,Sheet5!$A37:$C93,3,0)</f>
        <v>334.1</v>
      </c>
      <c r="H37">
        <f t="shared" si="2"/>
        <v>0</v>
      </c>
      <c r="I37">
        <v>225.89999999999998</v>
      </c>
      <c r="J37">
        <f>VLOOKUP(B37,Sheet5!A38:B90,2,0)</f>
        <v>300</v>
      </c>
      <c r="K37">
        <f>VLOOKUP(B37,[2]Sheet2!$A:$F,6,0)</f>
        <v>102.1</v>
      </c>
      <c r="L37" s="2">
        <f>VLOOKUP(B37,[4]Sheet1!$A:$B,2,0)</f>
        <v>102.1</v>
      </c>
      <c r="M37">
        <f t="shared" si="4"/>
        <v>-197.9</v>
      </c>
      <c r="N37">
        <f t="shared" si="5"/>
        <v>27.999999999999972</v>
      </c>
      <c r="P37">
        <f t="shared" si="7"/>
        <v>132.00000000000003</v>
      </c>
      <c r="R37" s="2">
        <f t="shared" si="11"/>
        <v>232.00000000000003</v>
      </c>
    </row>
    <row r="38" spans="2:18" x14ac:dyDescent="0.3">
      <c r="B38" s="53" t="s">
        <v>209</v>
      </c>
      <c r="C38" s="2">
        <v>6896</v>
      </c>
      <c r="D38" s="2">
        <f>VLOOKUP(B38,[3]Sheet1!$A:$B,2,0)</f>
        <v>8800</v>
      </c>
      <c r="E38">
        <v>6656</v>
      </c>
      <c r="F38" t="b">
        <f t="shared" si="1"/>
        <v>0</v>
      </c>
      <c r="G38">
        <f>VLOOKUP(B38,Sheet5!$A38:$C94,3,0)</f>
        <v>8800</v>
      </c>
      <c r="H38">
        <f t="shared" si="2"/>
        <v>0</v>
      </c>
      <c r="I38">
        <v>240</v>
      </c>
      <c r="J38">
        <f>VLOOKUP(B38,Sheet5!A39:B91,2,0)</f>
        <v>2592</v>
      </c>
      <c r="K38">
        <f>VLOOKUP(B38,[2]Sheet2!$A:$F,6,0)</f>
        <v>2544</v>
      </c>
      <c r="L38" s="2">
        <f>VLOOKUP(B38,[4]Sheet1!$A:$B,2,0)</f>
        <v>2208</v>
      </c>
      <c r="M38">
        <f t="shared" si="4"/>
        <v>-48</v>
      </c>
      <c r="N38">
        <f t="shared" si="5"/>
        <v>192</v>
      </c>
      <c r="O38">
        <f>N38/16</f>
        <v>12</v>
      </c>
      <c r="P38">
        <f t="shared" si="7"/>
        <v>4112</v>
      </c>
      <c r="R38" s="2">
        <f t="shared" si="11"/>
        <v>6592</v>
      </c>
    </row>
    <row r="39" spans="2:18" x14ac:dyDescent="0.3">
      <c r="B39" s="53" t="s">
        <v>198</v>
      </c>
      <c r="C39" s="2">
        <v>1568</v>
      </c>
      <c r="D39" s="2">
        <f>VLOOKUP(B39,[3]Sheet1!$A:$B,2,0)</f>
        <v>2176</v>
      </c>
      <c r="E39" s="14">
        <v>1624</v>
      </c>
      <c r="F39" t="b">
        <f t="shared" si="1"/>
        <v>0</v>
      </c>
      <c r="G39">
        <f>VLOOKUP(B39,Sheet5!$A39:$C95,3,0)</f>
        <v>2176</v>
      </c>
      <c r="H39">
        <f t="shared" si="2"/>
        <v>0</v>
      </c>
      <c r="I39">
        <v>-56</v>
      </c>
      <c r="J39" s="51">
        <f>VLOOKUP(B39,Sheet5!A40:B92,2,0)</f>
        <v>412</v>
      </c>
      <c r="K39" s="14">
        <f>VLOOKUP(B39,[2]Sheet2!$A:$F,6,0)</f>
        <v>596</v>
      </c>
      <c r="L39" s="2">
        <f>VLOOKUP(B39,[4]Sheet1!$A:$B,2,0)</f>
        <v>512</v>
      </c>
      <c r="M39">
        <f t="shared" si="4"/>
        <v>184</v>
      </c>
      <c r="N39">
        <f t="shared" si="5"/>
        <v>128</v>
      </c>
      <c r="O39">
        <f>N39/4</f>
        <v>32</v>
      </c>
      <c r="P39">
        <f t="shared" si="7"/>
        <v>1028</v>
      </c>
      <c r="R39" s="2">
        <f t="shared" si="11"/>
        <v>1664</v>
      </c>
    </row>
    <row r="40" spans="2:18" x14ac:dyDescent="0.3">
      <c r="B40" s="53" t="s">
        <v>222</v>
      </c>
      <c r="C40" s="2">
        <v>928</v>
      </c>
      <c r="D40" s="2">
        <f>VLOOKUP(B40,[3]Sheet1!$A:$B,2,0)</f>
        <v>1200</v>
      </c>
      <c r="E40">
        <v>992</v>
      </c>
      <c r="F40" t="b">
        <f t="shared" si="1"/>
        <v>0</v>
      </c>
      <c r="G40">
        <f>VLOOKUP(B40,Sheet5!$A40:$C96,3,0)</f>
        <v>1200</v>
      </c>
      <c r="H40">
        <f t="shared" si="2"/>
        <v>0</v>
      </c>
      <c r="I40">
        <v>-64</v>
      </c>
      <c r="J40">
        <f>VLOOKUP(B40,Sheet5!A41:B93,2,0)</f>
        <v>320</v>
      </c>
      <c r="K40">
        <f>VLOOKUP(B40,[2]Sheet2!$A:$F,6,0)</f>
        <v>432</v>
      </c>
      <c r="L40" s="2">
        <f>VLOOKUP(B40,[4]Sheet1!$A:$B,2,0)</f>
        <v>336</v>
      </c>
      <c r="M40">
        <f t="shared" si="4"/>
        <v>112</v>
      </c>
      <c r="N40">
        <f t="shared" si="5"/>
        <v>48</v>
      </c>
      <c r="O40">
        <f>N40/16</f>
        <v>3</v>
      </c>
      <c r="P40">
        <f t="shared" si="7"/>
        <v>560</v>
      </c>
      <c r="R40" s="2">
        <f t="shared" si="11"/>
        <v>864</v>
      </c>
    </row>
    <row r="41" spans="2:18" ht="15" thickBot="1" x14ac:dyDescent="0.35">
      <c r="B41" s="53" t="s">
        <v>199</v>
      </c>
      <c r="C41" s="2">
        <v>180</v>
      </c>
      <c r="D41" s="2">
        <f>VLOOKUP(B41,[3]Sheet1!$A:$B,2,0)</f>
        <v>312</v>
      </c>
      <c r="E41">
        <v>260</v>
      </c>
      <c r="F41" t="b">
        <f t="shared" si="1"/>
        <v>0</v>
      </c>
      <c r="G41">
        <f>VLOOKUP(B41,Sheet5!$A41:$C97,3,0)</f>
        <v>312</v>
      </c>
      <c r="H41">
        <f t="shared" si="2"/>
        <v>0</v>
      </c>
      <c r="I41">
        <v>-80</v>
      </c>
      <c r="J41">
        <f>VLOOKUP(B41,Sheet5!A42:B94,2,0)</f>
        <v>136</v>
      </c>
      <c r="K41">
        <f>VLOOKUP(B41,[2]Sheet2!$A:$F,6,0)</f>
        <v>132</v>
      </c>
      <c r="L41" s="2">
        <f>VLOOKUP(B41,[4]Sheet1!$A:$B,2,0)</f>
        <v>108</v>
      </c>
      <c r="M41">
        <f t="shared" si="4"/>
        <v>-4</v>
      </c>
      <c r="N41">
        <f t="shared" si="5"/>
        <v>-84</v>
      </c>
      <c r="O41">
        <f>N41/4</f>
        <v>-21</v>
      </c>
      <c r="P41">
        <f t="shared" si="7"/>
        <v>128</v>
      </c>
      <c r="R41" s="2">
        <f t="shared" si="11"/>
        <v>204</v>
      </c>
    </row>
    <row r="42" spans="2:18" hidden="1" x14ac:dyDescent="0.3">
      <c r="B42" t="s">
        <v>245</v>
      </c>
      <c r="C42">
        <v>4.17</v>
      </c>
      <c r="D42">
        <v>0</v>
      </c>
      <c r="E42">
        <v>0</v>
      </c>
      <c r="F42" t="b">
        <f t="shared" si="1"/>
        <v>1</v>
      </c>
      <c r="G42">
        <f>VLOOKUP(B42,Sheet5!$A42:$C98,3,0)</f>
        <v>0</v>
      </c>
      <c r="H42">
        <f t="shared" si="2"/>
        <v>0</v>
      </c>
      <c r="I42">
        <v>4.17</v>
      </c>
      <c r="J42">
        <f>VLOOKUP(B42,Sheet5!A43:B95,2,0)</f>
        <v>4.17</v>
      </c>
      <c r="K42">
        <v>0</v>
      </c>
      <c r="L42">
        <v>0</v>
      </c>
      <c r="M42">
        <f t="shared" si="4"/>
        <v>-4.17</v>
      </c>
      <c r="N42">
        <f t="shared" si="5"/>
        <v>0</v>
      </c>
      <c r="P42">
        <f t="shared" si="7"/>
        <v>0</v>
      </c>
      <c r="R42">
        <f t="shared" si="6"/>
        <v>0</v>
      </c>
    </row>
    <row r="43" spans="2:18" hidden="1" x14ac:dyDescent="0.3">
      <c r="B43" t="s">
        <v>246</v>
      </c>
      <c r="C43">
        <v>0.83</v>
      </c>
      <c r="D43">
        <f>E43</f>
        <v>3.32</v>
      </c>
      <c r="E43">
        <v>3.32</v>
      </c>
      <c r="F43" t="b">
        <f t="shared" si="1"/>
        <v>1</v>
      </c>
      <c r="G43">
        <f>VLOOKUP(B43,Sheet5!$A43:$C99,3,0)</f>
        <v>3.32</v>
      </c>
      <c r="H43">
        <f t="shared" si="2"/>
        <v>0</v>
      </c>
      <c r="I43">
        <v>-2.4899999999999998</v>
      </c>
      <c r="J43">
        <f>VLOOKUP(B43,Sheet5!A44:B96,2,0)</f>
        <v>0.83</v>
      </c>
      <c r="K43">
        <f>E43</f>
        <v>3.32</v>
      </c>
      <c r="L43">
        <f>E43</f>
        <v>3.32</v>
      </c>
      <c r="M43">
        <f t="shared" si="4"/>
        <v>2.4899999999999998</v>
      </c>
      <c r="N43">
        <f t="shared" si="5"/>
        <v>0</v>
      </c>
      <c r="P43">
        <f t="shared" si="7"/>
        <v>0</v>
      </c>
      <c r="R43">
        <f t="shared" si="6"/>
        <v>0</v>
      </c>
    </row>
    <row r="44" spans="2:18" hidden="1" x14ac:dyDescent="0.3">
      <c r="B44" t="s">
        <v>253</v>
      </c>
      <c r="C44">
        <v>0.45</v>
      </c>
      <c r="D44">
        <v>0</v>
      </c>
      <c r="E44">
        <v>0</v>
      </c>
      <c r="F44" t="b">
        <f t="shared" si="1"/>
        <v>1</v>
      </c>
      <c r="G44">
        <f>VLOOKUP(B44,Sheet5!$A44:$C100,3,0)</f>
        <v>0</v>
      </c>
      <c r="H44">
        <f t="shared" si="2"/>
        <v>0</v>
      </c>
      <c r="I44">
        <v>0.45</v>
      </c>
      <c r="J44">
        <f>VLOOKUP(B44,Sheet5!A45:B97,2,0)</f>
        <v>0.45</v>
      </c>
      <c r="K44">
        <v>0</v>
      </c>
      <c r="L44">
        <f t="shared" ref="L44:L47" si="12">E44</f>
        <v>0</v>
      </c>
      <c r="M44">
        <f t="shared" si="4"/>
        <v>-0.45</v>
      </c>
      <c r="N44">
        <f t="shared" si="5"/>
        <v>0</v>
      </c>
      <c r="P44">
        <f t="shared" si="7"/>
        <v>0</v>
      </c>
      <c r="R44">
        <f t="shared" si="6"/>
        <v>0</v>
      </c>
    </row>
    <row r="45" spans="2:18" hidden="1" x14ac:dyDescent="0.3">
      <c r="B45" t="s">
        <v>248</v>
      </c>
      <c r="C45">
        <v>29.7</v>
      </c>
      <c r="D45">
        <f>E45</f>
        <v>162.5</v>
      </c>
      <c r="E45">
        <v>162.5</v>
      </c>
      <c r="F45" t="b">
        <f t="shared" si="1"/>
        <v>1</v>
      </c>
      <c r="G45">
        <f>VLOOKUP(B45,Sheet5!$A45:$C101,3,0)</f>
        <v>162.5</v>
      </c>
      <c r="H45">
        <f t="shared" si="2"/>
        <v>0</v>
      </c>
      <c r="I45">
        <v>-132.80000000000001</v>
      </c>
      <c r="J45">
        <f>VLOOKUP(B45,Sheet5!A46:B98,2,0)</f>
        <v>29.7</v>
      </c>
      <c r="K45">
        <f>E45</f>
        <v>162.5</v>
      </c>
      <c r="L45">
        <f t="shared" si="12"/>
        <v>162.5</v>
      </c>
      <c r="M45">
        <f t="shared" si="4"/>
        <v>132.80000000000001</v>
      </c>
      <c r="N45">
        <f t="shared" si="5"/>
        <v>0</v>
      </c>
      <c r="P45">
        <f t="shared" si="7"/>
        <v>0</v>
      </c>
      <c r="R45">
        <f t="shared" si="6"/>
        <v>0</v>
      </c>
    </row>
    <row r="46" spans="2:18" hidden="1" x14ac:dyDescent="0.3">
      <c r="B46" t="s">
        <v>243</v>
      </c>
      <c r="C46">
        <v>54.599999999999994</v>
      </c>
      <c r="D46">
        <v>0</v>
      </c>
      <c r="E46">
        <v>0</v>
      </c>
      <c r="F46" t="b">
        <f t="shared" si="1"/>
        <v>1</v>
      </c>
      <c r="G46">
        <f>VLOOKUP(B46,Sheet5!$A46:$C102,3,0)</f>
        <v>0</v>
      </c>
      <c r="H46">
        <f t="shared" si="2"/>
        <v>0</v>
      </c>
      <c r="I46">
        <v>54.599999999999994</v>
      </c>
      <c r="J46">
        <f>VLOOKUP(B46,Sheet5!A47:B99,2,0)</f>
        <v>54.599999999999994</v>
      </c>
      <c r="K46">
        <v>0</v>
      </c>
      <c r="L46">
        <f t="shared" si="12"/>
        <v>0</v>
      </c>
      <c r="M46">
        <f t="shared" si="4"/>
        <v>-54.599999999999994</v>
      </c>
      <c r="N46">
        <f t="shared" si="5"/>
        <v>0</v>
      </c>
      <c r="P46">
        <f t="shared" si="7"/>
        <v>0</v>
      </c>
      <c r="R46">
        <f t="shared" si="6"/>
        <v>0</v>
      </c>
    </row>
    <row r="47" spans="2:18" hidden="1" x14ac:dyDescent="0.3">
      <c r="B47" t="s">
        <v>241</v>
      </c>
      <c r="C47">
        <v>34.67</v>
      </c>
      <c r="D47">
        <f>E47</f>
        <v>382.2</v>
      </c>
      <c r="E47">
        <v>382.2</v>
      </c>
      <c r="F47" t="b">
        <f t="shared" si="1"/>
        <v>1</v>
      </c>
      <c r="G47">
        <f>VLOOKUP(B47,Sheet5!$A47:$C103,3,0)</f>
        <v>382.2</v>
      </c>
      <c r="H47">
        <f t="shared" si="2"/>
        <v>0</v>
      </c>
      <c r="I47">
        <v>-347.53</v>
      </c>
      <c r="J47">
        <f>VLOOKUP(B47,Sheet5!A48:B100,2,0)</f>
        <v>34.67</v>
      </c>
      <c r="K47">
        <f>E47</f>
        <v>382.2</v>
      </c>
      <c r="L47">
        <f t="shared" si="12"/>
        <v>382.2</v>
      </c>
      <c r="M47">
        <f t="shared" si="4"/>
        <v>347.53</v>
      </c>
      <c r="N47">
        <f t="shared" si="5"/>
        <v>0</v>
      </c>
      <c r="P47">
        <f t="shared" si="7"/>
        <v>0</v>
      </c>
      <c r="R47">
        <f t="shared" si="6"/>
        <v>0</v>
      </c>
    </row>
    <row r="48" spans="2:18" hidden="1" x14ac:dyDescent="0.3">
      <c r="B48" t="s">
        <v>274</v>
      </c>
      <c r="C48">
        <v>120</v>
      </c>
      <c r="D48">
        <f>VLOOKUP(B48,[3]Sheet1!$A:$B,2,0)</f>
        <v>80</v>
      </c>
      <c r="E48">
        <v>80</v>
      </c>
      <c r="F48" t="b">
        <f t="shared" si="1"/>
        <v>1</v>
      </c>
      <c r="G48">
        <f>VLOOKUP(B48,Sheet5!$A48:$C104,3,0)</f>
        <v>80</v>
      </c>
      <c r="H48">
        <f t="shared" si="2"/>
        <v>0</v>
      </c>
      <c r="I48">
        <v>40</v>
      </c>
      <c r="J48">
        <f>VLOOKUP(B48,Sheet5!A49:B101,2,0)</f>
        <v>120</v>
      </c>
      <c r="K48">
        <f>VLOOKUP(B48,[2]Sheet2!$A:$F,6,0)</f>
        <v>80</v>
      </c>
      <c r="L48">
        <f>VLOOKUP(B48,[4]Sheet1!$A:$B,2,0)</f>
        <v>80</v>
      </c>
      <c r="M48">
        <f t="shared" si="4"/>
        <v>-40</v>
      </c>
      <c r="N48">
        <f t="shared" si="5"/>
        <v>0</v>
      </c>
      <c r="P48">
        <f t="shared" si="7"/>
        <v>0</v>
      </c>
      <c r="R48">
        <f t="shared" si="6"/>
        <v>0</v>
      </c>
    </row>
    <row r="49" spans="2:18" hidden="1" x14ac:dyDescent="0.3">
      <c r="B49" t="s">
        <v>276</v>
      </c>
      <c r="C49">
        <v>80</v>
      </c>
      <c r="D49">
        <f>VLOOKUP(B49,[3]Sheet1!$A:$B,2,0)</f>
        <v>60</v>
      </c>
      <c r="E49">
        <v>60</v>
      </c>
      <c r="F49" t="b">
        <f t="shared" si="1"/>
        <v>1</v>
      </c>
      <c r="G49">
        <f>VLOOKUP(B49,Sheet5!$A49:$C105,3,0)</f>
        <v>60</v>
      </c>
      <c r="H49">
        <f t="shared" si="2"/>
        <v>0</v>
      </c>
      <c r="I49">
        <v>20</v>
      </c>
      <c r="J49">
        <f>VLOOKUP(B49,Sheet5!A50:B102,2,0)</f>
        <v>80</v>
      </c>
      <c r="K49">
        <f>VLOOKUP(B49,[2]Sheet2!$A:$F,6,0)</f>
        <v>60</v>
      </c>
      <c r="L49">
        <f>VLOOKUP(B49,[4]Sheet1!$A:$B,2,0)</f>
        <v>60</v>
      </c>
      <c r="M49">
        <f t="shared" si="4"/>
        <v>-20</v>
      </c>
      <c r="N49">
        <f t="shared" si="5"/>
        <v>0</v>
      </c>
      <c r="P49">
        <f t="shared" si="7"/>
        <v>0</v>
      </c>
      <c r="R49">
        <f t="shared" si="6"/>
        <v>0</v>
      </c>
    </row>
    <row r="50" spans="2:18" hidden="1" x14ac:dyDescent="0.3">
      <c r="B50" t="s">
        <v>277</v>
      </c>
      <c r="C50">
        <v>17.5</v>
      </c>
      <c r="D50">
        <f>VLOOKUP(B50,[3]Sheet1!$A:$B,2,0)</f>
        <v>17.5</v>
      </c>
      <c r="E50">
        <v>17.5</v>
      </c>
      <c r="F50" t="b">
        <f t="shared" si="1"/>
        <v>1</v>
      </c>
      <c r="G50">
        <f>VLOOKUP(B50,Sheet5!$A50:$C106,3,0)</f>
        <v>17.5</v>
      </c>
      <c r="H50">
        <f t="shared" si="2"/>
        <v>0</v>
      </c>
      <c r="I50">
        <v>0</v>
      </c>
      <c r="J50">
        <f>VLOOKUP(B50,Sheet5!A51:B103,2,0)</f>
        <v>17.5</v>
      </c>
      <c r="K50">
        <f>VLOOKUP(B50,[2]Sheet2!$A:$F,6,0)</f>
        <v>17.5</v>
      </c>
      <c r="L50">
        <f>VLOOKUP(B50,[4]Sheet1!$A:$B,2,0)</f>
        <v>17.5</v>
      </c>
      <c r="M50">
        <f t="shared" si="4"/>
        <v>0</v>
      </c>
      <c r="N50">
        <f t="shared" si="5"/>
        <v>0</v>
      </c>
      <c r="P50">
        <f t="shared" si="7"/>
        <v>0</v>
      </c>
      <c r="R50">
        <f t="shared" si="6"/>
        <v>0</v>
      </c>
    </row>
    <row r="51" spans="2:18" hidden="1" x14ac:dyDescent="0.3">
      <c r="B51" t="s">
        <v>278</v>
      </c>
      <c r="C51">
        <v>2.5</v>
      </c>
      <c r="D51">
        <f>VLOOKUP(B51,[3]Sheet1!$A:$B,2,0)</f>
        <v>2.5</v>
      </c>
      <c r="E51">
        <v>2.5</v>
      </c>
      <c r="F51" t="b">
        <f t="shared" si="1"/>
        <v>1</v>
      </c>
      <c r="G51">
        <f>VLOOKUP(B51,Sheet5!$A51:$C107,3,0)</f>
        <v>2.5</v>
      </c>
      <c r="H51">
        <f t="shared" si="2"/>
        <v>0</v>
      </c>
      <c r="I51">
        <v>0</v>
      </c>
      <c r="J51">
        <f>VLOOKUP(B51,Sheet5!A52:B104,2,0)</f>
        <v>2.5</v>
      </c>
      <c r="K51">
        <f>VLOOKUP(B51,[2]Sheet2!$A:$F,6,0)</f>
        <v>2.5</v>
      </c>
      <c r="L51">
        <f>VLOOKUP(B51,[4]Sheet1!$A:$B,2,0)</f>
        <v>2.5</v>
      </c>
      <c r="M51">
        <f t="shared" si="4"/>
        <v>0</v>
      </c>
      <c r="N51">
        <f t="shared" si="5"/>
        <v>0</v>
      </c>
      <c r="P51">
        <f t="shared" si="7"/>
        <v>0</v>
      </c>
      <c r="R51">
        <f t="shared" si="6"/>
        <v>0</v>
      </c>
    </row>
    <row r="52" spans="2:18" hidden="1" x14ac:dyDescent="0.3">
      <c r="B52" t="s">
        <v>182</v>
      </c>
      <c r="C52">
        <v>3.6</v>
      </c>
      <c r="D52">
        <f>E52</f>
        <v>2.25</v>
      </c>
      <c r="E52">
        <v>2.25</v>
      </c>
      <c r="F52" t="b">
        <f t="shared" si="1"/>
        <v>1</v>
      </c>
      <c r="G52">
        <f>VLOOKUP(B52,Sheet5!$A52:$C108,3,0)</f>
        <v>2.25</v>
      </c>
      <c r="H52">
        <f t="shared" si="2"/>
        <v>0</v>
      </c>
      <c r="I52">
        <v>1.35</v>
      </c>
      <c r="J52">
        <f>VLOOKUP(B52,Sheet5!A53:B105,2,0)</f>
        <v>3.6</v>
      </c>
      <c r="K52">
        <f>VLOOKUP(B52,[2]Sheet2!$A:$F,6,0)</f>
        <v>2.25</v>
      </c>
      <c r="L52">
        <f t="shared" ref="L52:L54" si="13">K52</f>
        <v>2.25</v>
      </c>
      <c r="M52">
        <f t="shared" si="4"/>
        <v>-1.35</v>
      </c>
      <c r="N52">
        <f t="shared" si="5"/>
        <v>0</v>
      </c>
      <c r="P52">
        <f t="shared" si="7"/>
        <v>0</v>
      </c>
      <c r="R52">
        <f t="shared" si="6"/>
        <v>0</v>
      </c>
    </row>
    <row r="53" spans="2:18" hidden="1" x14ac:dyDescent="0.3">
      <c r="B53" t="s">
        <v>184</v>
      </c>
      <c r="C53">
        <v>3.6</v>
      </c>
      <c r="D53">
        <v>0</v>
      </c>
      <c r="E53">
        <v>0</v>
      </c>
      <c r="F53" t="b">
        <f t="shared" si="1"/>
        <v>1</v>
      </c>
      <c r="G53">
        <f>VLOOKUP(B53,Sheet5!$A53:$C109,3,0)</f>
        <v>0</v>
      </c>
      <c r="H53">
        <f t="shared" si="2"/>
        <v>0</v>
      </c>
      <c r="I53">
        <v>3.6</v>
      </c>
      <c r="J53">
        <f>VLOOKUP(B53,Sheet5!A54:B106,2,0)</f>
        <v>3.6</v>
      </c>
      <c r="K53">
        <v>0</v>
      </c>
      <c r="L53">
        <f t="shared" si="13"/>
        <v>0</v>
      </c>
      <c r="M53">
        <f t="shared" si="4"/>
        <v>-3.6</v>
      </c>
      <c r="N53">
        <f t="shared" si="5"/>
        <v>0</v>
      </c>
      <c r="P53">
        <f t="shared" si="7"/>
        <v>0</v>
      </c>
      <c r="R53">
        <f t="shared" si="6"/>
        <v>0</v>
      </c>
    </row>
    <row r="54" spans="2:18" hidden="1" x14ac:dyDescent="0.3">
      <c r="B54" t="s">
        <v>195</v>
      </c>
      <c r="C54">
        <v>1.8</v>
      </c>
      <c r="D54">
        <f>E54</f>
        <v>1.8</v>
      </c>
      <c r="E54">
        <v>1.8</v>
      </c>
      <c r="F54" t="b">
        <f t="shared" si="1"/>
        <v>1</v>
      </c>
      <c r="G54">
        <f>VLOOKUP(B54,Sheet5!$A54:$C110,3,0)</f>
        <v>1.8</v>
      </c>
      <c r="H54">
        <f t="shared" si="2"/>
        <v>0</v>
      </c>
      <c r="I54">
        <v>0</v>
      </c>
      <c r="J54">
        <f>VLOOKUP(B54,Sheet5!A55:B107,2,0)</f>
        <v>1.8</v>
      </c>
      <c r="K54">
        <f>VLOOKUP(B54,[2]Sheet2!$A:$F,6,0)</f>
        <v>1.8</v>
      </c>
      <c r="L54">
        <f t="shared" si="13"/>
        <v>1.8</v>
      </c>
      <c r="M54">
        <f t="shared" si="4"/>
        <v>0</v>
      </c>
      <c r="N54">
        <f t="shared" si="5"/>
        <v>0</v>
      </c>
      <c r="P54">
        <f t="shared" si="7"/>
        <v>0</v>
      </c>
      <c r="R54">
        <f t="shared" si="6"/>
        <v>0</v>
      </c>
    </row>
    <row r="55" spans="2:18" hidden="1" x14ac:dyDescent="0.3">
      <c r="B55" t="s">
        <v>202</v>
      </c>
      <c r="C55">
        <v>1.8</v>
      </c>
      <c r="D55">
        <f>VLOOKUP(B55,[3]Sheet1!$A:$B,2,0)</f>
        <v>1.8</v>
      </c>
      <c r="E55">
        <v>1.8</v>
      </c>
      <c r="F55" t="b">
        <f t="shared" si="1"/>
        <v>1</v>
      </c>
      <c r="G55">
        <f>VLOOKUP(B55,Sheet5!$A55:$C111,3,0)</f>
        <v>1.8</v>
      </c>
      <c r="H55">
        <f t="shared" si="2"/>
        <v>0</v>
      </c>
      <c r="I55">
        <v>0</v>
      </c>
      <c r="J55">
        <f>VLOOKUP(B55,Sheet5!A56:B108,2,0)</f>
        <v>1.8</v>
      </c>
      <c r="K55">
        <f>VLOOKUP(B55,[2]Sheet2!$A:$F,6,0)</f>
        <v>1.8</v>
      </c>
      <c r="L55">
        <f>VLOOKUP(B55,[4]Sheet1!$A:$B,2,0)</f>
        <v>1.8</v>
      </c>
      <c r="M55">
        <f t="shared" si="4"/>
        <v>0</v>
      </c>
      <c r="N55">
        <f t="shared" si="5"/>
        <v>0</v>
      </c>
      <c r="P55">
        <f t="shared" si="7"/>
        <v>0</v>
      </c>
      <c r="R55">
        <f t="shared" si="6"/>
        <v>0</v>
      </c>
    </row>
    <row r="56" spans="2:18" hidden="1" x14ac:dyDescent="0.3">
      <c r="B56" t="s">
        <v>283</v>
      </c>
      <c r="C56">
        <v>18.8</v>
      </c>
      <c r="D56">
        <f>E56</f>
        <v>18.079999999999998</v>
      </c>
      <c r="E56">
        <v>18.079999999999998</v>
      </c>
      <c r="F56" t="b">
        <f t="shared" si="1"/>
        <v>1</v>
      </c>
      <c r="G56">
        <f>VLOOKUP(B56,Sheet5!$A56:$C112,3,0)</f>
        <v>18.079999999999998</v>
      </c>
      <c r="H56">
        <f t="shared" si="2"/>
        <v>0</v>
      </c>
      <c r="I56">
        <v>0.72000000000000242</v>
      </c>
      <c r="J56">
        <f>VLOOKUP(B56,Sheet5!A57:B109,2,0)</f>
        <v>18.8</v>
      </c>
      <c r="K56">
        <f>VLOOKUP(B56,[2]Sheet2!$A:$F,6,0)</f>
        <v>18.079999999999998</v>
      </c>
      <c r="L56">
        <f>K56</f>
        <v>18.079999999999998</v>
      </c>
      <c r="M56">
        <f t="shared" si="4"/>
        <v>-0.72000000000000242</v>
      </c>
      <c r="N56">
        <f t="shared" si="5"/>
        <v>0</v>
      </c>
      <c r="P56">
        <f t="shared" si="7"/>
        <v>0</v>
      </c>
      <c r="R56">
        <f t="shared" si="6"/>
        <v>0</v>
      </c>
    </row>
    <row r="57" spans="2:18" hidden="1" x14ac:dyDescent="0.3">
      <c r="B57" s="17" t="s">
        <v>335</v>
      </c>
      <c r="C57">
        <v>210</v>
      </c>
      <c r="D57">
        <f>VLOOKUP(B57,[3]Sheet1!$A:$B,2,0)</f>
        <v>192.5</v>
      </c>
      <c r="E57">
        <f>C57</f>
        <v>210</v>
      </c>
      <c r="F57" t="b">
        <f t="shared" si="1"/>
        <v>0</v>
      </c>
      <c r="G57">
        <f>VLOOKUP(B57,Sheet5!$A57:$C113,3,0)</f>
        <v>0</v>
      </c>
      <c r="H57">
        <f t="shared" si="2"/>
        <v>192.5</v>
      </c>
      <c r="J57">
        <v>210</v>
      </c>
      <c r="K57">
        <f>VLOOKUP(B57,[2]Sheet2!$A:$F,6,0)</f>
        <v>192.5</v>
      </c>
      <c r="L57">
        <f>VLOOKUP(B57,[4]Sheet1!$A:$B,2,0)</f>
        <v>192.5</v>
      </c>
      <c r="M57">
        <f t="shared" si="4"/>
        <v>-17.5</v>
      </c>
      <c r="N57">
        <f t="shared" si="5"/>
        <v>-17.5</v>
      </c>
      <c r="O57">
        <f>N57/17.5</f>
        <v>-1</v>
      </c>
      <c r="P57">
        <f t="shared" si="7"/>
        <v>17.5</v>
      </c>
      <c r="R57">
        <f t="shared" si="6"/>
        <v>0</v>
      </c>
    </row>
    <row r="58" spans="2:18" hidden="1" x14ac:dyDescent="0.3">
      <c r="B58" s="17" t="s">
        <v>334</v>
      </c>
      <c r="C58">
        <v>30</v>
      </c>
      <c r="D58">
        <f>VLOOKUP(B58,[3]Sheet1!$A:$B,2,0)</f>
        <v>27.5</v>
      </c>
      <c r="E58">
        <f>C58</f>
        <v>30</v>
      </c>
      <c r="F58" t="b">
        <f t="shared" si="1"/>
        <v>0</v>
      </c>
      <c r="G58">
        <f>VLOOKUP(B58,Sheet5!$A58:$C114,3,0)</f>
        <v>0</v>
      </c>
      <c r="H58">
        <f t="shared" si="2"/>
        <v>27.5</v>
      </c>
      <c r="J58">
        <v>30</v>
      </c>
      <c r="K58">
        <f>VLOOKUP(B58,[2]Sheet2!$A:$F,6,0)</f>
        <v>27.5</v>
      </c>
      <c r="L58">
        <f>VLOOKUP(B58,[4]Sheet1!$A:$B,2,0)</f>
        <v>27.5</v>
      </c>
      <c r="M58">
        <f t="shared" si="4"/>
        <v>-2.5</v>
      </c>
      <c r="N58">
        <f t="shared" si="5"/>
        <v>-2.5</v>
      </c>
      <c r="O58">
        <f>N58/2.5</f>
        <v>-1</v>
      </c>
      <c r="P58">
        <f t="shared" si="7"/>
        <v>2.5</v>
      </c>
      <c r="R58">
        <f t="shared" si="6"/>
        <v>0</v>
      </c>
    </row>
    <row r="59" spans="2:18" ht="15" thickBot="1" x14ac:dyDescent="0.35">
      <c r="B59" s="55" t="s">
        <v>123</v>
      </c>
      <c r="C59" s="56"/>
      <c r="D59" s="57"/>
      <c r="L59" s="58"/>
      <c r="P59">
        <f>SUM(P4:P58)</f>
        <v>9383.5300000000007</v>
      </c>
      <c r="R59" s="59">
        <f>SUM(R4:R58)</f>
        <v>15000.86</v>
      </c>
    </row>
    <row r="60" spans="2:18" ht="15" thickBot="1" x14ac:dyDescent="0.35">
      <c r="B60" s="60" t="s">
        <v>340</v>
      </c>
      <c r="C60" s="61"/>
      <c r="D60" s="62"/>
      <c r="L60" s="63"/>
      <c r="P60">
        <v>9624.4600000000009</v>
      </c>
      <c r="R60" s="64">
        <v>14448.21</v>
      </c>
    </row>
    <row r="61" spans="2:18" ht="15" thickBot="1" x14ac:dyDescent="0.35">
      <c r="B61" s="65" t="s">
        <v>341</v>
      </c>
      <c r="C61" s="66"/>
      <c r="D61" s="67"/>
      <c r="L61" s="68"/>
      <c r="P61">
        <f>P60-P59</f>
        <v>240.93000000000029</v>
      </c>
      <c r="R61" s="69">
        <f>R59-R60</f>
        <v>552.65000000000146</v>
      </c>
    </row>
  </sheetData>
  <autoFilter ref="B3:R61" xr:uid="{A91BB61C-85DE-4A32-B2C7-365C63C7AC11}">
    <filterColumn colId="16">
      <filters>
        <filter val="-110"/>
        <filter val="-112"/>
        <filter val="14,448.21"/>
        <filter val="-1400"/>
        <filter val="-15,000.86"/>
        <filter val="-151.8"/>
        <filter val="-16.5"/>
        <filter val="-1664"/>
        <filter val="-201.6"/>
        <filter val="-204"/>
        <filter val="-21.6"/>
        <filter val="-232"/>
        <filter val="-28"/>
        <filter val="-31.5"/>
        <filter val="-5"/>
        <filter val="-552.65"/>
        <filter val="-6592"/>
        <filter val="-720"/>
        <filter val="-768.2"/>
        <filter val="-803.16"/>
        <filter val="-83.5"/>
        <filter val="-864"/>
        <filter val="-992"/>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F23F-8373-4A63-A235-CD16230B9B41}">
  <dimension ref="B2:L43"/>
  <sheetViews>
    <sheetView showGridLines="0" topLeftCell="E1" workbookViewId="0">
      <selection activeCell="H3" sqref="H3:L24"/>
    </sheetView>
  </sheetViews>
  <sheetFormatPr defaultRowHeight="14.4" x14ac:dyDescent="0.3"/>
  <cols>
    <col min="2" max="2" width="37.6640625" bestFit="1" customWidth="1"/>
    <col min="3" max="3" width="26" bestFit="1" customWidth="1"/>
    <col min="4" max="4" width="22.109375" bestFit="1" customWidth="1"/>
    <col min="5" max="5" width="17.21875" customWidth="1"/>
    <col min="6" max="6" width="25.88671875" bestFit="1" customWidth="1"/>
    <col min="8" max="8" width="37.6640625" bestFit="1" customWidth="1"/>
    <col min="9" max="9" width="23.21875" bestFit="1" customWidth="1"/>
    <col min="10" max="10" width="17.6640625" bestFit="1" customWidth="1"/>
    <col min="11" max="11" width="16.77734375" customWidth="1"/>
    <col min="12" max="12" width="13.5546875" customWidth="1"/>
  </cols>
  <sheetData>
    <row r="2" spans="2:12" ht="15" thickBot="1" x14ac:dyDescent="0.35"/>
    <row r="3" spans="2:12" ht="39.9" customHeight="1" thickBot="1" x14ac:dyDescent="0.35">
      <c r="B3" s="71" t="s">
        <v>342</v>
      </c>
      <c r="C3" s="82" t="s">
        <v>348</v>
      </c>
      <c r="D3" s="82" t="s">
        <v>349</v>
      </c>
      <c r="E3" s="83" t="s">
        <v>350</v>
      </c>
      <c r="H3" s="84" t="s">
        <v>342</v>
      </c>
      <c r="I3" s="85" t="s">
        <v>345</v>
      </c>
      <c r="J3" s="85" t="s">
        <v>351</v>
      </c>
      <c r="K3" s="85" t="s">
        <v>352</v>
      </c>
      <c r="L3" s="86" t="s">
        <v>344</v>
      </c>
    </row>
    <row r="4" spans="2:12" x14ac:dyDescent="0.3">
      <c r="B4" s="79" t="s">
        <v>258</v>
      </c>
      <c r="C4" s="54">
        <v>1202.4000000000001</v>
      </c>
      <c r="D4" s="54">
        <v>434.2</v>
      </c>
      <c r="E4" s="81">
        <v>768.2</v>
      </c>
      <c r="H4" s="79" t="s">
        <v>258</v>
      </c>
      <c r="I4" s="54">
        <v>718.09999999999991</v>
      </c>
      <c r="J4" s="54">
        <v>768.2</v>
      </c>
      <c r="K4" s="54">
        <v>-50.100000000000136</v>
      </c>
      <c r="L4" s="80">
        <v>-3.0000000000000084</v>
      </c>
    </row>
    <row r="5" spans="2:12" x14ac:dyDescent="0.3">
      <c r="B5" s="74" t="s">
        <v>257</v>
      </c>
      <c r="C5" s="2">
        <v>250.86</v>
      </c>
      <c r="D5" s="2">
        <v>99.06</v>
      </c>
      <c r="E5" s="75">
        <v>151.80000000000001</v>
      </c>
      <c r="H5" s="74" t="s">
        <v>257</v>
      </c>
      <c r="I5" s="2">
        <v>141.9</v>
      </c>
      <c r="J5" s="2">
        <v>151.80000000000001</v>
      </c>
      <c r="K5" s="2">
        <v>-9.9000000000000057</v>
      </c>
      <c r="L5" s="75">
        <v>-3.0000000000000018</v>
      </c>
    </row>
    <row r="6" spans="2:12" x14ac:dyDescent="0.3">
      <c r="B6" s="74" t="s">
        <v>186</v>
      </c>
      <c r="C6" s="2">
        <v>317.3</v>
      </c>
      <c r="D6" s="2">
        <v>233.8</v>
      </c>
      <c r="E6" s="75">
        <v>83.5</v>
      </c>
      <c r="H6" s="74" t="s">
        <v>186</v>
      </c>
      <c r="I6" s="2">
        <v>83.5</v>
      </c>
      <c r="J6" s="2">
        <v>83.5</v>
      </c>
      <c r="K6" s="2">
        <v>0</v>
      </c>
      <c r="L6" s="75">
        <v>0</v>
      </c>
    </row>
    <row r="7" spans="2:12" x14ac:dyDescent="0.3">
      <c r="B7" s="74" t="s">
        <v>230</v>
      </c>
      <c r="C7" s="2">
        <v>52.8</v>
      </c>
      <c r="D7" s="2">
        <v>36.299999999999997</v>
      </c>
      <c r="E7" s="75">
        <v>16.5</v>
      </c>
      <c r="H7" s="74" t="s">
        <v>230</v>
      </c>
      <c r="I7" s="2">
        <v>16.5</v>
      </c>
      <c r="J7" s="2">
        <v>16.5</v>
      </c>
      <c r="K7" s="2">
        <v>0</v>
      </c>
      <c r="L7" s="75">
        <v>0</v>
      </c>
    </row>
    <row r="8" spans="2:12" x14ac:dyDescent="0.3">
      <c r="B8" s="74" t="s">
        <v>273</v>
      </c>
      <c r="C8" s="2">
        <v>236.7</v>
      </c>
      <c r="D8" s="2">
        <v>35.1</v>
      </c>
      <c r="E8" s="75">
        <v>201.6</v>
      </c>
      <c r="H8" s="74" t="s">
        <v>273</v>
      </c>
      <c r="I8" s="2">
        <v>184.91</v>
      </c>
      <c r="J8" s="2">
        <v>201.6</v>
      </c>
      <c r="K8" s="2">
        <v>-16.689999999999998</v>
      </c>
      <c r="L8" s="75">
        <v>-0.99999999999999978</v>
      </c>
    </row>
    <row r="9" spans="2:12" x14ac:dyDescent="0.3">
      <c r="B9" s="74" t="s">
        <v>190</v>
      </c>
      <c r="C9" s="2">
        <v>23.4</v>
      </c>
      <c r="D9" s="2">
        <v>1.8</v>
      </c>
      <c r="E9" s="75">
        <v>21.599999999999998</v>
      </c>
      <c r="H9" s="74" t="s">
        <v>190</v>
      </c>
      <c r="I9" s="2">
        <v>19.8</v>
      </c>
      <c r="J9" s="2">
        <v>21.6</v>
      </c>
      <c r="K9" s="2">
        <v>-1.8000000000000007</v>
      </c>
      <c r="L9" s="75">
        <v>-1.0000000000000004</v>
      </c>
    </row>
    <row r="10" spans="2:12" x14ac:dyDescent="0.3">
      <c r="B10" s="74" t="s">
        <v>269</v>
      </c>
      <c r="C10" s="2">
        <v>1118.72</v>
      </c>
      <c r="D10" s="2">
        <v>315.56</v>
      </c>
      <c r="E10" s="75">
        <v>803.16000000000008</v>
      </c>
      <c r="H10" s="74" t="s">
        <v>269</v>
      </c>
      <c r="I10" s="2">
        <v>801</v>
      </c>
      <c r="J10" s="2">
        <v>803.16</v>
      </c>
      <c r="K10" s="2">
        <v>-2.1599999999999682</v>
      </c>
      <c r="L10" s="75">
        <v>0</v>
      </c>
    </row>
    <row r="11" spans="2:12" x14ac:dyDescent="0.3">
      <c r="B11" s="74" t="s">
        <v>271</v>
      </c>
      <c r="C11" s="2">
        <v>151.80000000000001</v>
      </c>
      <c r="D11" s="2">
        <v>41.8</v>
      </c>
      <c r="E11" s="75">
        <v>110.00000000000001</v>
      </c>
      <c r="H11" s="74" t="s">
        <v>271</v>
      </c>
      <c r="I11" s="2">
        <v>110.00000000000001</v>
      </c>
      <c r="J11" s="2">
        <v>110</v>
      </c>
      <c r="K11" s="2">
        <v>0</v>
      </c>
      <c r="L11" s="75">
        <v>0</v>
      </c>
    </row>
    <row r="12" spans="2:12" x14ac:dyDescent="0.3">
      <c r="B12" s="74" t="s">
        <v>249</v>
      </c>
      <c r="C12" s="2">
        <v>1110</v>
      </c>
      <c r="D12" s="2">
        <v>390</v>
      </c>
      <c r="E12" s="75">
        <v>720</v>
      </c>
      <c r="H12" s="74" t="s">
        <v>249</v>
      </c>
      <c r="I12" s="2">
        <v>720</v>
      </c>
      <c r="J12" s="2">
        <v>720</v>
      </c>
      <c r="K12" s="2">
        <v>0</v>
      </c>
      <c r="L12" s="75">
        <v>0</v>
      </c>
    </row>
    <row r="13" spans="2:12" x14ac:dyDescent="0.3">
      <c r="B13" s="74" t="s">
        <v>218</v>
      </c>
      <c r="C13" s="2">
        <v>1569.9</v>
      </c>
      <c r="D13" s="2">
        <v>169.9</v>
      </c>
      <c r="E13" s="75">
        <v>1400</v>
      </c>
      <c r="H13" s="74" t="s">
        <v>218</v>
      </c>
      <c r="I13" s="2">
        <v>1240</v>
      </c>
      <c r="J13" s="2">
        <v>1400</v>
      </c>
      <c r="K13" s="2">
        <v>-160</v>
      </c>
      <c r="L13" s="75">
        <v>-8</v>
      </c>
    </row>
    <row r="14" spans="2:12" x14ac:dyDescent="0.3">
      <c r="B14" s="74" t="s">
        <v>175</v>
      </c>
      <c r="C14" s="2">
        <v>237</v>
      </c>
      <c r="D14" s="2">
        <v>205.5</v>
      </c>
      <c r="E14" s="75">
        <v>31.5</v>
      </c>
      <c r="H14" s="74" t="s">
        <v>175</v>
      </c>
      <c r="I14" s="2">
        <v>31.5</v>
      </c>
      <c r="J14" s="2">
        <v>31.5</v>
      </c>
      <c r="K14" s="2">
        <v>0</v>
      </c>
      <c r="L14" s="75">
        <v>0</v>
      </c>
    </row>
    <row r="15" spans="2:12" x14ac:dyDescent="0.3">
      <c r="B15" s="74" t="s">
        <v>188</v>
      </c>
      <c r="C15" s="2">
        <v>38.200000000000003</v>
      </c>
      <c r="D15" s="2">
        <v>33.200000000000003</v>
      </c>
      <c r="E15" s="75">
        <v>5</v>
      </c>
      <c r="H15" s="74" t="s">
        <v>188</v>
      </c>
      <c r="I15" s="2">
        <v>5</v>
      </c>
      <c r="J15" s="2">
        <v>5</v>
      </c>
      <c r="K15" s="2">
        <v>0</v>
      </c>
      <c r="L15" s="75">
        <v>0</v>
      </c>
    </row>
    <row r="16" spans="2:12" x14ac:dyDescent="0.3">
      <c r="B16" s="74" t="s">
        <v>183</v>
      </c>
      <c r="C16" s="2">
        <v>464</v>
      </c>
      <c r="D16" s="2">
        <v>352</v>
      </c>
      <c r="E16" s="75">
        <v>112</v>
      </c>
      <c r="H16" s="74" t="s">
        <v>183</v>
      </c>
      <c r="I16" s="2">
        <v>76</v>
      </c>
      <c r="J16" s="2">
        <v>112</v>
      </c>
      <c r="K16" s="2">
        <v>-36</v>
      </c>
      <c r="L16" s="75">
        <v>2</v>
      </c>
    </row>
    <row r="17" spans="2:12" x14ac:dyDescent="0.3">
      <c r="B17" s="74" t="s">
        <v>214</v>
      </c>
      <c r="C17" s="2">
        <v>116</v>
      </c>
      <c r="D17" s="2">
        <v>88</v>
      </c>
      <c r="E17" s="75">
        <v>28</v>
      </c>
      <c r="H17" s="74" t="s">
        <v>214</v>
      </c>
      <c r="I17" s="2">
        <v>28</v>
      </c>
      <c r="J17" s="2">
        <v>28</v>
      </c>
      <c r="K17" s="2">
        <v>0</v>
      </c>
      <c r="L17" s="75">
        <v>0</v>
      </c>
    </row>
    <row r="18" spans="2:12" x14ac:dyDescent="0.3">
      <c r="B18" s="74" t="s">
        <v>247</v>
      </c>
      <c r="C18" s="2">
        <v>1261.9000000000001</v>
      </c>
      <c r="D18" s="2">
        <v>269.89999999999998</v>
      </c>
      <c r="E18" s="75">
        <v>992.00000000000011</v>
      </c>
      <c r="H18" s="74" t="s">
        <v>247</v>
      </c>
      <c r="I18" s="2">
        <v>944</v>
      </c>
      <c r="J18" s="2">
        <v>992</v>
      </c>
      <c r="K18" s="2">
        <v>-48</v>
      </c>
      <c r="L18" s="75">
        <v>-3</v>
      </c>
    </row>
    <row r="19" spans="2:12" x14ac:dyDescent="0.3">
      <c r="B19" s="74" t="s">
        <v>250</v>
      </c>
      <c r="C19" s="2">
        <v>334.1</v>
      </c>
      <c r="D19" s="2">
        <v>102.1</v>
      </c>
      <c r="E19" s="75">
        <v>232.00000000000003</v>
      </c>
      <c r="H19" s="74" t="s">
        <v>250</v>
      </c>
      <c r="I19" s="2">
        <v>260</v>
      </c>
      <c r="J19" s="2">
        <v>232</v>
      </c>
      <c r="K19" s="2">
        <v>28</v>
      </c>
      <c r="L19" s="75">
        <v>7</v>
      </c>
    </row>
    <row r="20" spans="2:12" x14ac:dyDescent="0.3">
      <c r="B20" s="74" t="s">
        <v>209</v>
      </c>
      <c r="C20" s="2">
        <v>8800</v>
      </c>
      <c r="D20" s="2">
        <v>2208</v>
      </c>
      <c r="E20" s="75">
        <v>6592</v>
      </c>
      <c r="H20" s="74" t="s">
        <v>209</v>
      </c>
      <c r="I20" s="2">
        <v>6448</v>
      </c>
      <c r="J20" s="2">
        <v>6592</v>
      </c>
      <c r="K20" s="2">
        <v>-144</v>
      </c>
      <c r="L20" s="75">
        <v>-9</v>
      </c>
    </row>
    <row r="21" spans="2:12" x14ac:dyDescent="0.3">
      <c r="B21" s="74" t="s">
        <v>198</v>
      </c>
      <c r="C21" s="2">
        <v>2176</v>
      </c>
      <c r="D21" s="2">
        <v>512</v>
      </c>
      <c r="E21" s="75">
        <v>1664</v>
      </c>
      <c r="H21" s="74" t="s">
        <v>198</v>
      </c>
      <c r="I21" s="2">
        <v>1708</v>
      </c>
      <c r="J21" s="2">
        <v>1664</v>
      </c>
      <c r="K21" s="2">
        <v>44</v>
      </c>
      <c r="L21" s="75">
        <v>11</v>
      </c>
    </row>
    <row r="22" spans="2:12" x14ac:dyDescent="0.3">
      <c r="B22" s="74" t="s">
        <v>222</v>
      </c>
      <c r="C22" s="2">
        <v>1200</v>
      </c>
      <c r="D22" s="2">
        <v>336</v>
      </c>
      <c r="E22" s="75">
        <v>864</v>
      </c>
      <c r="H22" s="74" t="s">
        <v>222</v>
      </c>
      <c r="I22" s="2">
        <v>816</v>
      </c>
      <c r="J22" s="2">
        <v>864</v>
      </c>
      <c r="K22" s="2">
        <v>-48</v>
      </c>
      <c r="L22" s="75">
        <v>-3</v>
      </c>
    </row>
    <row r="23" spans="2:12" ht="15" thickBot="1" x14ac:dyDescent="0.35">
      <c r="B23" s="74" t="s">
        <v>199</v>
      </c>
      <c r="C23" s="2">
        <v>312</v>
      </c>
      <c r="D23" s="2">
        <v>108</v>
      </c>
      <c r="E23" s="75">
        <v>204</v>
      </c>
      <c r="H23" s="87" t="s">
        <v>199</v>
      </c>
      <c r="I23" s="88">
        <v>96</v>
      </c>
      <c r="J23" s="88">
        <v>204</v>
      </c>
      <c r="K23" s="88">
        <v>-108</v>
      </c>
      <c r="L23" s="89">
        <v>-27</v>
      </c>
    </row>
    <row r="24" spans="2:12" ht="15" thickBot="1" x14ac:dyDescent="0.35">
      <c r="B24" s="55" t="s">
        <v>123</v>
      </c>
      <c r="C24" s="57"/>
      <c r="D24" s="58"/>
      <c r="E24" s="59">
        <v>15000.86</v>
      </c>
      <c r="H24" s="55" t="s">
        <v>123</v>
      </c>
      <c r="I24" s="56">
        <v>14448.21</v>
      </c>
      <c r="J24" s="56">
        <v>15000.86</v>
      </c>
      <c r="K24" s="56">
        <v>-552.65000000000146</v>
      </c>
      <c r="L24" s="90">
        <f>SUM(L4:L23)</f>
        <v>-38.000000000000014</v>
      </c>
    </row>
    <row r="25" spans="2:12" ht="15" thickBot="1" x14ac:dyDescent="0.35">
      <c r="B25" s="60" t="s">
        <v>340</v>
      </c>
      <c r="C25" s="62"/>
      <c r="D25" s="63"/>
      <c r="E25" s="64">
        <v>14448.21</v>
      </c>
    </row>
    <row r="26" spans="2:12" ht="15" thickBot="1" x14ac:dyDescent="0.35">
      <c r="B26" s="65" t="s">
        <v>341</v>
      </c>
      <c r="C26" s="67"/>
      <c r="D26" s="68"/>
      <c r="E26" s="69">
        <v>552.65000000000146</v>
      </c>
    </row>
    <row r="28" spans="2:12" ht="15" thickBot="1" x14ac:dyDescent="0.35"/>
    <row r="29" spans="2:12" ht="15" thickBot="1" x14ac:dyDescent="0.35">
      <c r="B29" s="71" t="s">
        <v>342</v>
      </c>
      <c r="C29" s="72" t="s">
        <v>345</v>
      </c>
      <c r="D29" s="72" t="s">
        <v>346</v>
      </c>
      <c r="E29" s="72" t="s">
        <v>347</v>
      </c>
      <c r="F29" s="73" t="s">
        <v>344</v>
      </c>
    </row>
    <row r="30" spans="2:12" x14ac:dyDescent="0.3">
      <c r="B30" s="79" t="s">
        <v>258</v>
      </c>
      <c r="C30" s="54">
        <v>718.09999999999991</v>
      </c>
      <c r="D30" s="54">
        <v>768.2</v>
      </c>
      <c r="E30" s="54">
        <v>-50.100000000000136</v>
      </c>
      <c r="F30" s="80">
        <v>-3.0000000000000084</v>
      </c>
    </row>
    <row r="31" spans="2:12" x14ac:dyDescent="0.3">
      <c r="B31" s="74" t="s">
        <v>257</v>
      </c>
      <c r="C31" s="2">
        <v>141.9</v>
      </c>
      <c r="D31" s="2">
        <v>151.80000000000001</v>
      </c>
      <c r="E31" s="2">
        <v>-9.9000000000000057</v>
      </c>
      <c r="F31" s="75">
        <v>-3.0000000000000018</v>
      </c>
    </row>
    <row r="32" spans="2:12" x14ac:dyDescent="0.3">
      <c r="B32" s="74" t="s">
        <v>273</v>
      </c>
      <c r="C32" s="2">
        <v>184.91</v>
      </c>
      <c r="D32" s="2">
        <v>201.6</v>
      </c>
      <c r="E32" s="2">
        <v>-16.689999999999998</v>
      </c>
      <c r="F32" s="75">
        <v>-0.99999999999999978</v>
      </c>
    </row>
    <row r="33" spans="2:6" x14ac:dyDescent="0.3">
      <c r="B33" s="74" t="s">
        <v>190</v>
      </c>
      <c r="C33" s="2">
        <v>19.8</v>
      </c>
      <c r="D33" s="2">
        <v>21.6</v>
      </c>
      <c r="E33" s="2">
        <v>-1.8000000000000007</v>
      </c>
      <c r="F33" s="75">
        <v>-1.0000000000000004</v>
      </c>
    </row>
    <row r="34" spans="2:6" x14ac:dyDescent="0.3">
      <c r="B34" s="74" t="s">
        <v>269</v>
      </c>
      <c r="C34" s="2">
        <v>801</v>
      </c>
      <c r="D34" s="2">
        <v>803.16</v>
      </c>
      <c r="E34" s="2">
        <v>-2.1599999999999682</v>
      </c>
      <c r="F34" s="75"/>
    </row>
    <row r="35" spans="2:6" x14ac:dyDescent="0.3">
      <c r="B35" s="74" t="s">
        <v>218</v>
      </c>
      <c r="C35" s="2">
        <v>1240</v>
      </c>
      <c r="D35" s="2">
        <v>1400</v>
      </c>
      <c r="E35" s="2">
        <v>-160</v>
      </c>
      <c r="F35" s="75">
        <v>-8</v>
      </c>
    </row>
    <row r="36" spans="2:6" x14ac:dyDescent="0.3">
      <c r="B36" s="74" t="s">
        <v>183</v>
      </c>
      <c r="C36" s="2">
        <v>76</v>
      </c>
      <c r="D36" s="2">
        <v>112</v>
      </c>
      <c r="E36" s="2">
        <v>-36</v>
      </c>
      <c r="F36" s="75">
        <v>2</v>
      </c>
    </row>
    <row r="37" spans="2:6" x14ac:dyDescent="0.3">
      <c r="B37" s="74" t="s">
        <v>247</v>
      </c>
      <c r="C37" s="2">
        <v>944</v>
      </c>
      <c r="D37" s="2">
        <v>992</v>
      </c>
      <c r="E37" s="2">
        <v>-48</v>
      </c>
      <c r="F37" s="75">
        <v>-3</v>
      </c>
    </row>
    <row r="38" spans="2:6" x14ac:dyDescent="0.3">
      <c r="B38" s="74" t="s">
        <v>250</v>
      </c>
      <c r="C38" s="2">
        <v>260</v>
      </c>
      <c r="D38" s="2">
        <v>232</v>
      </c>
      <c r="E38" s="2">
        <v>28</v>
      </c>
      <c r="F38" s="75">
        <v>7</v>
      </c>
    </row>
    <row r="39" spans="2:6" x14ac:dyDescent="0.3">
      <c r="B39" s="74" t="s">
        <v>209</v>
      </c>
      <c r="C39" s="2">
        <v>6448</v>
      </c>
      <c r="D39" s="2">
        <v>6592</v>
      </c>
      <c r="E39" s="2">
        <v>-144</v>
      </c>
      <c r="F39" s="75">
        <v>-9</v>
      </c>
    </row>
    <row r="40" spans="2:6" x14ac:dyDescent="0.3">
      <c r="B40" s="74" t="s">
        <v>198</v>
      </c>
      <c r="C40" s="2">
        <v>1708</v>
      </c>
      <c r="D40" s="2">
        <v>1664</v>
      </c>
      <c r="E40" s="2">
        <v>44</v>
      </c>
      <c r="F40" s="75">
        <v>11</v>
      </c>
    </row>
    <row r="41" spans="2:6" x14ac:dyDescent="0.3">
      <c r="B41" s="74" t="s">
        <v>222</v>
      </c>
      <c r="C41" s="2">
        <v>816</v>
      </c>
      <c r="D41" s="2">
        <v>864</v>
      </c>
      <c r="E41" s="2">
        <v>-48</v>
      </c>
      <c r="F41" s="75">
        <v>-3</v>
      </c>
    </row>
    <row r="42" spans="2:6" x14ac:dyDescent="0.3">
      <c r="B42" s="74" t="s">
        <v>199</v>
      </c>
      <c r="C42" s="2">
        <v>96</v>
      </c>
      <c r="D42" s="2">
        <v>204</v>
      </c>
      <c r="E42" s="2">
        <v>-108</v>
      </c>
      <c r="F42" s="75">
        <v>-27</v>
      </c>
    </row>
    <row r="43" spans="2:6" ht="15" thickBot="1" x14ac:dyDescent="0.35">
      <c r="B43" s="76" t="s">
        <v>123</v>
      </c>
      <c r="C43" s="77">
        <v>14448.21</v>
      </c>
      <c r="D43" s="77">
        <v>15000.86</v>
      </c>
      <c r="E43" s="77">
        <v>-552.65000000000146</v>
      </c>
      <c r="F43" s="7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5F359-B4C3-491A-8E8A-3F852C839529}">
  <sheetPr filterMode="1"/>
  <dimension ref="A1:AB228"/>
  <sheetViews>
    <sheetView tabSelected="1" topLeftCell="H1" zoomScaleNormal="100" workbookViewId="0">
      <selection activeCell="W3" sqref="W3"/>
    </sheetView>
  </sheetViews>
  <sheetFormatPr defaultRowHeight="18.600000000000001" customHeight="1" x14ac:dyDescent="0.3"/>
  <cols>
    <col min="1" max="1" width="8" bestFit="1" customWidth="1"/>
    <col min="2" max="2" width="53.88671875" bestFit="1" customWidth="1"/>
    <col min="3" max="3" width="34.109375" bestFit="1" customWidth="1"/>
    <col min="4" max="4" width="11.33203125" bestFit="1" customWidth="1"/>
    <col min="5" max="5" width="9.33203125" bestFit="1" customWidth="1"/>
    <col min="6" max="6" width="10.33203125" bestFit="1" customWidth="1"/>
    <col min="7" max="7" width="14" bestFit="1" customWidth="1"/>
    <col min="8" max="8" width="14.88671875" bestFit="1" customWidth="1"/>
    <col min="9" max="10" width="19.33203125" customWidth="1"/>
    <col min="11" max="11" width="15.33203125" bestFit="1" customWidth="1"/>
    <col min="12" max="12" width="15.33203125" customWidth="1"/>
    <col min="13" max="13" width="14.88671875" bestFit="1" customWidth="1"/>
    <col min="14" max="14" width="11.33203125" hidden="1" customWidth="1"/>
    <col min="15" max="15" width="12.5546875" bestFit="1" customWidth="1"/>
    <col min="16" max="16" width="13.33203125" bestFit="1" customWidth="1"/>
    <col min="17" max="17" width="16.33203125" bestFit="1" customWidth="1"/>
    <col min="18" max="18" width="11" bestFit="1" customWidth="1"/>
    <col min="19" max="19" width="12.109375" bestFit="1" customWidth="1"/>
    <col min="20" max="20" width="12" bestFit="1" customWidth="1"/>
    <col min="21" max="21" width="25.88671875" style="1" bestFit="1" customWidth="1"/>
    <col min="22" max="22" width="10.109375" style="1" bestFit="1" customWidth="1"/>
    <col min="23" max="23" width="29.6640625" style="1" bestFit="1" customWidth="1"/>
    <col min="24" max="25" width="14.6640625" style="1" bestFit="1" customWidth="1"/>
    <col min="26" max="26" width="49.33203125" bestFit="1" customWidth="1"/>
    <col min="27" max="27" width="16.88671875" bestFit="1" customWidth="1"/>
    <col min="28" max="28" width="255.6640625" bestFit="1" customWidth="1"/>
  </cols>
  <sheetData>
    <row r="1" spans="1:28" ht="18.600000000000001" customHeight="1" x14ac:dyDescent="0.3">
      <c r="H1" s="1">
        <f t="shared" ref="H1:M1" si="0">SUBTOTAL(9,H3:H228)</f>
        <v>24743.360999999994</v>
      </c>
      <c r="I1" s="1">
        <f t="shared" si="0"/>
        <v>1367</v>
      </c>
      <c r="J1" s="1">
        <f t="shared" si="0"/>
        <v>4823.7499999999991</v>
      </c>
      <c r="K1" s="1">
        <f t="shared" si="0"/>
        <v>14448.21</v>
      </c>
      <c r="L1" s="1">
        <f t="shared" si="0"/>
        <v>9624.4600000000009</v>
      </c>
      <c r="M1" s="1">
        <f t="shared" si="0"/>
        <v>10295.150999999994</v>
      </c>
      <c r="O1" s="1"/>
    </row>
    <row r="2" spans="1:28" ht="18.600000000000001" customHeight="1" x14ac:dyDescent="0.3">
      <c r="A2" s="2" t="s">
        <v>0</v>
      </c>
      <c r="B2" s="10" t="s">
        <v>142</v>
      </c>
      <c r="C2" s="10" t="s">
        <v>1</v>
      </c>
      <c r="D2" s="10" t="s">
        <v>2</v>
      </c>
      <c r="E2" s="10" t="s">
        <v>3</v>
      </c>
      <c r="F2" s="10" t="s">
        <v>4</v>
      </c>
      <c r="G2" s="10" t="s">
        <v>13</v>
      </c>
      <c r="H2" s="10" t="s">
        <v>14</v>
      </c>
      <c r="I2" s="10" t="s">
        <v>287</v>
      </c>
      <c r="J2" s="10" t="s">
        <v>353</v>
      </c>
      <c r="K2" s="10" t="s">
        <v>338</v>
      </c>
      <c r="L2" s="10" t="s">
        <v>343</v>
      </c>
      <c r="M2" s="10" t="s">
        <v>288</v>
      </c>
      <c r="N2" s="10" t="s">
        <v>176</v>
      </c>
      <c r="O2" s="10" t="s">
        <v>5</v>
      </c>
      <c r="P2" s="10" t="s">
        <v>8</v>
      </c>
      <c r="Q2" s="10" t="s">
        <v>9</v>
      </c>
      <c r="R2" s="2" t="s">
        <v>6</v>
      </c>
      <c r="S2" s="2" t="s">
        <v>7</v>
      </c>
      <c r="T2" s="2" t="s">
        <v>43</v>
      </c>
      <c r="U2" s="3" t="s">
        <v>113</v>
      </c>
      <c r="V2" s="3" t="s">
        <v>138</v>
      </c>
      <c r="W2" s="3" t="s">
        <v>120</v>
      </c>
      <c r="X2" s="3" t="s">
        <v>282</v>
      </c>
      <c r="Y2" s="3" t="s">
        <v>114</v>
      </c>
      <c r="Z2" s="2" t="s">
        <v>16</v>
      </c>
      <c r="AA2" s="3" t="s">
        <v>115</v>
      </c>
      <c r="AB2" s="11" t="s">
        <v>144</v>
      </c>
    </row>
    <row r="3" spans="1:28" ht="18.600000000000001" customHeight="1" x14ac:dyDescent="0.3">
      <c r="A3" s="2">
        <v>55</v>
      </c>
      <c r="B3" s="2" t="s">
        <v>175</v>
      </c>
      <c r="C3" s="13" t="s">
        <v>174</v>
      </c>
      <c r="D3" s="2" t="s">
        <v>24</v>
      </c>
      <c r="E3" s="2" t="s">
        <v>12</v>
      </c>
      <c r="F3" s="2">
        <v>6.75</v>
      </c>
      <c r="G3" s="2">
        <v>1</v>
      </c>
      <c r="H3" s="2">
        <f t="shared" ref="H3:H7" si="1">F3*G3</f>
        <v>6.75</v>
      </c>
      <c r="I3" s="2"/>
      <c r="J3" s="2">
        <v>0</v>
      </c>
      <c r="K3" s="2">
        <f>I3*F3</f>
        <v>0</v>
      </c>
      <c r="L3" s="2">
        <f>K3-J3</f>
        <v>0</v>
      </c>
      <c r="M3" s="2">
        <f>H3-K3</f>
        <v>6.75</v>
      </c>
      <c r="N3" s="2" t="s">
        <v>177</v>
      </c>
      <c r="O3" s="18">
        <v>2859306</v>
      </c>
      <c r="P3" s="2" t="s">
        <v>15</v>
      </c>
      <c r="Q3" s="2">
        <v>4</v>
      </c>
      <c r="R3" s="19">
        <v>44743</v>
      </c>
      <c r="S3" s="19">
        <v>45473</v>
      </c>
      <c r="T3" s="19">
        <v>45868</v>
      </c>
      <c r="U3" s="3">
        <f t="shared" ref="U3:U64" si="2">S3-T3</f>
        <v>-395</v>
      </c>
      <c r="V3" s="3" t="str">
        <f>IF(U3&lt;0,"Expired","Not Expired")</f>
        <v>Expired</v>
      </c>
      <c r="W3" s="3" t="str">
        <f>IF(U3&lt;-45,"Expired more than 45 Days",IF(U3&lt;0,"Recently Expired within 45 Days ago",IF(U3&lt;=45,"Will be Expire within 45 Days","Not Expire")))</f>
        <v>Expired more than 45 Days</v>
      </c>
      <c r="X3" s="3" t="s">
        <v>280</v>
      </c>
      <c r="Y3" s="3" t="str">
        <f>VLOOKUP(O3,[5]Working!$F:$Q,12,0)</f>
        <v>DFIPL Purchase</v>
      </c>
      <c r="Z3" s="2" t="s">
        <v>58</v>
      </c>
      <c r="AA3" s="2" t="s">
        <v>117</v>
      </c>
    </row>
    <row r="4" spans="1:28" ht="18.600000000000001" customHeight="1" x14ac:dyDescent="0.3">
      <c r="A4" s="2">
        <v>104</v>
      </c>
      <c r="B4" s="2" t="s">
        <v>207</v>
      </c>
      <c r="C4" s="2" t="s">
        <v>71</v>
      </c>
      <c r="D4" s="2"/>
      <c r="E4" s="2" t="s">
        <v>12</v>
      </c>
      <c r="F4" s="2">
        <v>20</v>
      </c>
      <c r="G4" s="2">
        <v>1</v>
      </c>
      <c r="H4" s="2">
        <f t="shared" si="1"/>
        <v>20</v>
      </c>
      <c r="I4" s="2"/>
      <c r="J4" s="2">
        <v>0</v>
      </c>
      <c r="K4" s="2">
        <f t="shared" ref="K4:K67" si="3">I4*F4</f>
        <v>0</v>
      </c>
      <c r="L4" s="2">
        <f t="shared" ref="L4:L67" si="4">K4-J4</f>
        <v>0</v>
      </c>
      <c r="M4" s="2">
        <f t="shared" ref="M4:M67" si="5">H4-K4</f>
        <v>20</v>
      </c>
      <c r="N4" s="2" t="s">
        <v>177</v>
      </c>
      <c r="O4" s="18">
        <v>2566122</v>
      </c>
      <c r="P4" s="2" t="s">
        <v>89</v>
      </c>
      <c r="Q4" s="2">
        <v>2</v>
      </c>
      <c r="R4" s="19">
        <v>44411</v>
      </c>
      <c r="S4" s="19">
        <v>45871</v>
      </c>
      <c r="T4" s="19">
        <v>45868</v>
      </c>
      <c r="U4" s="3">
        <f t="shared" si="2"/>
        <v>3</v>
      </c>
      <c r="V4" s="3" t="str">
        <f t="shared" ref="V4:V65" si="6">IF(U4&lt;0,"Expired","Not Expired")</f>
        <v>Not Expired</v>
      </c>
      <c r="W4" s="3" t="str">
        <f t="shared" ref="W4:W65" si="7">IF(U4&lt;-45,"Expired more than 45 Days",IF(U4&lt;0,"Recently Expired within 45 Days ago",IF(U4&lt;=45,"Will be Expire within 45 Days","Not Expire")))</f>
        <v>Will be Expire within 45 Days</v>
      </c>
      <c r="X4" s="3" t="s">
        <v>280</v>
      </c>
      <c r="Y4" s="3" t="str">
        <f>VLOOKUP(O4,[5]Working!$F:$Q,12,0)</f>
        <v>DFIPL Purchase</v>
      </c>
      <c r="Z4" s="2" t="s">
        <v>72</v>
      </c>
      <c r="AA4" s="2" t="s">
        <v>117</v>
      </c>
    </row>
    <row r="5" spans="1:28" ht="18.600000000000001" customHeight="1" x14ac:dyDescent="0.3">
      <c r="A5" s="2">
        <v>117</v>
      </c>
      <c r="B5" s="2" t="s">
        <v>188</v>
      </c>
      <c r="C5" s="2" t="s">
        <v>78</v>
      </c>
      <c r="D5" s="2" t="s">
        <v>11</v>
      </c>
      <c r="E5" s="2" t="s">
        <v>12</v>
      </c>
      <c r="F5" s="2">
        <v>2.25</v>
      </c>
      <c r="G5" s="2">
        <v>1</v>
      </c>
      <c r="H5" s="2">
        <f t="shared" si="1"/>
        <v>2.25</v>
      </c>
      <c r="I5" s="2"/>
      <c r="J5" s="2">
        <v>0</v>
      </c>
      <c r="K5" s="2">
        <f t="shared" si="3"/>
        <v>0</v>
      </c>
      <c r="L5" s="2">
        <f t="shared" si="4"/>
        <v>0</v>
      </c>
      <c r="M5" s="2">
        <f t="shared" si="5"/>
        <v>2.25</v>
      </c>
      <c r="N5" s="2" t="s">
        <v>177</v>
      </c>
      <c r="O5" s="18">
        <v>2538093</v>
      </c>
      <c r="P5" s="2" t="s">
        <v>139</v>
      </c>
      <c r="Q5" s="2">
        <v>4</v>
      </c>
      <c r="R5" s="20">
        <v>44376</v>
      </c>
      <c r="S5" s="20">
        <v>45106</v>
      </c>
      <c r="T5" s="19">
        <v>45868</v>
      </c>
      <c r="U5" s="3">
        <f t="shared" si="2"/>
        <v>-762</v>
      </c>
      <c r="V5" s="3" t="str">
        <f t="shared" si="6"/>
        <v>Expired</v>
      </c>
      <c r="W5" s="3" t="str">
        <f t="shared" si="7"/>
        <v>Expired more than 45 Days</v>
      </c>
      <c r="X5" s="3" t="s">
        <v>280</v>
      </c>
      <c r="Y5" s="3" t="str">
        <f>VLOOKUP(O5,[5]Working!$F:$Q,12,0)</f>
        <v>DFIPL Purchase</v>
      </c>
      <c r="Z5" s="2" t="s">
        <v>79</v>
      </c>
      <c r="AA5" s="2" t="s">
        <v>117</v>
      </c>
    </row>
    <row r="6" spans="1:28" ht="18.600000000000001" hidden="1" customHeight="1" x14ac:dyDescent="0.3">
      <c r="A6" s="2">
        <v>53</v>
      </c>
      <c r="B6" s="2" t="s">
        <v>208</v>
      </c>
      <c r="C6" s="2" t="s">
        <v>159</v>
      </c>
      <c r="D6" s="2"/>
      <c r="E6" s="2" t="s">
        <v>12</v>
      </c>
      <c r="F6" s="2">
        <v>20</v>
      </c>
      <c r="G6" s="2">
        <v>1</v>
      </c>
      <c r="H6" s="2">
        <f t="shared" si="1"/>
        <v>20</v>
      </c>
      <c r="I6" s="2"/>
      <c r="J6" s="2">
        <v>0</v>
      </c>
      <c r="K6" s="2">
        <f t="shared" si="3"/>
        <v>0</v>
      </c>
      <c r="L6" s="2">
        <f t="shared" si="4"/>
        <v>0</v>
      </c>
      <c r="M6" s="2">
        <f t="shared" si="5"/>
        <v>20</v>
      </c>
      <c r="N6" s="2" t="s">
        <v>177</v>
      </c>
      <c r="O6" s="27" t="s">
        <v>170</v>
      </c>
      <c r="P6" s="2" t="s">
        <v>45</v>
      </c>
      <c r="Q6" s="2">
        <v>4</v>
      </c>
      <c r="R6" s="19">
        <v>43831</v>
      </c>
      <c r="S6" s="19">
        <v>44562</v>
      </c>
      <c r="T6" s="19">
        <v>45868</v>
      </c>
      <c r="U6" s="3">
        <f t="shared" si="2"/>
        <v>-1306</v>
      </c>
      <c r="V6" s="3" t="str">
        <f t="shared" si="6"/>
        <v>Expired</v>
      </c>
      <c r="W6" s="3" t="str">
        <f t="shared" si="7"/>
        <v>Expired more than 45 Days</v>
      </c>
      <c r="X6" s="3" t="s">
        <v>281</v>
      </c>
      <c r="Y6" s="3" t="e">
        <f>VLOOKUP(O6,[5]Working!$F:$Q,12,0)</f>
        <v>#N/A</v>
      </c>
      <c r="Z6" s="2" t="s">
        <v>122</v>
      </c>
      <c r="AA6" s="2" t="s">
        <v>116</v>
      </c>
    </row>
    <row r="7" spans="1:28" ht="18.600000000000001" customHeight="1" x14ac:dyDescent="0.3">
      <c r="A7" s="2">
        <v>98</v>
      </c>
      <c r="B7" s="2" t="s">
        <v>209</v>
      </c>
      <c r="C7" s="2" t="s">
        <v>29</v>
      </c>
      <c r="D7" s="2" t="s">
        <v>24</v>
      </c>
      <c r="E7" s="2" t="s">
        <v>12</v>
      </c>
      <c r="F7" s="2">
        <v>16</v>
      </c>
      <c r="G7" s="2">
        <v>1</v>
      </c>
      <c r="H7" s="2">
        <f t="shared" si="1"/>
        <v>16</v>
      </c>
      <c r="I7" s="2"/>
      <c r="J7" s="2">
        <v>0</v>
      </c>
      <c r="K7" s="2">
        <f t="shared" si="3"/>
        <v>0</v>
      </c>
      <c r="L7" s="2">
        <f t="shared" si="4"/>
        <v>0</v>
      </c>
      <c r="M7" s="2">
        <f t="shared" si="5"/>
        <v>16</v>
      </c>
      <c r="N7" s="2" t="s">
        <v>177</v>
      </c>
      <c r="O7" s="18">
        <v>2580592</v>
      </c>
      <c r="P7" s="2" t="s">
        <v>15</v>
      </c>
      <c r="Q7" s="2">
        <v>4</v>
      </c>
      <c r="R7" s="19">
        <v>44431</v>
      </c>
      <c r="S7" s="19">
        <v>45161</v>
      </c>
      <c r="T7" s="19">
        <v>45868</v>
      </c>
      <c r="U7" s="3">
        <f t="shared" si="2"/>
        <v>-707</v>
      </c>
      <c r="V7" s="3" t="str">
        <f t="shared" si="6"/>
        <v>Expired</v>
      </c>
      <c r="W7" s="3" t="str">
        <f t="shared" si="7"/>
        <v>Expired more than 45 Days</v>
      </c>
      <c r="X7" s="3" t="s">
        <v>280</v>
      </c>
      <c r="Y7" s="3" t="str">
        <f>VLOOKUP(O7,[5]Working!$F:$Q,12,0)</f>
        <v>DFIPL Purchase</v>
      </c>
      <c r="Z7" s="2"/>
      <c r="AA7" s="2" t="s">
        <v>116</v>
      </c>
    </row>
    <row r="8" spans="1:28" ht="18.600000000000001" customHeight="1" x14ac:dyDescent="0.3">
      <c r="A8" s="2">
        <v>56</v>
      </c>
      <c r="B8" s="2" t="s">
        <v>175</v>
      </c>
      <c r="C8" s="13" t="s">
        <v>175</v>
      </c>
      <c r="D8" s="2" t="s">
        <v>24</v>
      </c>
      <c r="E8" s="2" t="s">
        <v>12</v>
      </c>
      <c r="F8" s="2">
        <v>6.75</v>
      </c>
      <c r="G8" s="2">
        <v>1</v>
      </c>
      <c r="H8" s="2">
        <v>6.75</v>
      </c>
      <c r="I8" s="2"/>
      <c r="J8" s="2">
        <v>0</v>
      </c>
      <c r="K8" s="2">
        <f t="shared" si="3"/>
        <v>0</v>
      </c>
      <c r="L8" s="2">
        <f t="shared" si="4"/>
        <v>0</v>
      </c>
      <c r="M8" s="2">
        <f t="shared" si="5"/>
        <v>6.75</v>
      </c>
      <c r="N8" s="2" t="s">
        <v>177</v>
      </c>
      <c r="O8" s="18">
        <v>2582705</v>
      </c>
      <c r="P8" s="2" t="s">
        <v>15</v>
      </c>
      <c r="Q8" s="2">
        <v>4</v>
      </c>
      <c r="R8" s="19">
        <v>44432</v>
      </c>
      <c r="S8" s="19">
        <v>45162</v>
      </c>
      <c r="T8" s="19">
        <v>45868</v>
      </c>
      <c r="U8" s="3">
        <f t="shared" si="2"/>
        <v>-706</v>
      </c>
      <c r="V8" s="3" t="str">
        <f t="shared" si="6"/>
        <v>Expired</v>
      </c>
      <c r="W8" s="3" t="str">
        <f t="shared" si="7"/>
        <v>Expired more than 45 Days</v>
      </c>
      <c r="X8" s="3" t="s">
        <v>280</v>
      </c>
      <c r="Y8" s="3" t="str">
        <f>VLOOKUP(O8,[5]Working!$F:$Q,12,0)</f>
        <v>DFIPL Purchase</v>
      </c>
      <c r="Z8" s="2"/>
      <c r="AA8" s="2" t="s">
        <v>116</v>
      </c>
    </row>
    <row r="9" spans="1:28" ht="18.600000000000001" customHeight="1" x14ac:dyDescent="0.3">
      <c r="A9" s="2">
        <v>166</v>
      </c>
      <c r="B9" s="2" t="s">
        <v>183</v>
      </c>
      <c r="C9" s="2" t="s">
        <v>91</v>
      </c>
      <c r="D9" s="2" t="s">
        <v>24</v>
      </c>
      <c r="E9" s="2" t="s">
        <v>12</v>
      </c>
      <c r="F9" s="2">
        <v>16</v>
      </c>
      <c r="G9" s="2">
        <v>2</v>
      </c>
      <c r="H9" s="2">
        <f t="shared" ref="H9:H71" si="8">F9*G9</f>
        <v>32</v>
      </c>
      <c r="I9" s="2"/>
      <c r="J9" s="2">
        <v>0</v>
      </c>
      <c r="K9" s="2">
        <f t="shared" si="3"/>
        <v>0</v>
      </c>
      <c r="L9" s="2">
        <f t="shared" si="4"/>
        <v>0</v>
      </c>
      <c r="M9" s="2">
        <f t="shared" si="5"/>
        <v>32</v>
      </c>
      <c r="N9" s="2" t="s">
        <v>177</v>
      </c>
      <c r="O9" s="18">
        <v>2580915</v>
      </c>
      <c r="P9" s="2" t="s">
        <v>89</v>
      </c>
      <c r="Q9" s="2">
        <v>2</v>
      </c>
      <c r="R9" s="19">
        <v>44432</v>
      </c>
      <c r="S9" s="19">
        <v>45162</v>
      </c>
      <c r="T9" s="19">
        <v>45868</v>
      </c>
      <c r="U9" s="3">
        <f t="shared" si="2"/>
        <v>-706</v>
      </c>
      <c r="V9" s="3" t="str">
        <f t="shared" si="6"/>
        <v>Expired</v>
      </c>
      <c r="W9" s="3" t="str">
        <f t="shared" si="7"/>
        <v>Expired more than 45 Days</v>
      </c>
      <c r="X9" s="3" t="s">
        <v>280</v>
      </c>
      <c r="Y9" s="3" t="str">
        <f>VLOOKUP(O9,[5]Working!$F:$Q,12,0)</f>
        <v>DFIPL Purchase</v>
      </c>
      <c r="Z9" s="2"/>
      <c r="AA9" s="2" t="s">
        <v>116</v>
      </c>
    </row>
    <row r="10" spans="1:28" s="24" customFormat="1" ht="18.600000000000001" customHeight="1" x14ac:dyDescent="0.3">
      <c r="A10" s="21">
        <v>115</v>
      </c>
      <c r="B10" s="2" t="s">
        <v>198</v>
      </c>
      <c r="C10" s="21" t="s">
        <v>22</v>
      </c>
      <c r="D10" s="21" t="s">
        <v>11</v>
      </c>
      <c r="E10" s="21" t="s">
        <v>12</v>
      </c>
      <c r="F10" s="21">
        <v>4</v>
      </c>
      <c r="G10" s="21">
        <v>1</v>
      </c>
      <c r="H10" s="21">
        <f t="shared" si="8"/>
        <v>4</v>
      </c>
      <c r="I10" s="21"/>
      <c r="J10" s="21">
        <v>0</v>
      </c>
      <c r="K10" s="2">
        <f t="shared" si="3"/>
        <v>0</v>
      </c>
      <c r="L10" s="2">
        <f t="shared" si="4"/>
        <v>0</v>
      </c>
      <c r="M10" s="2">
        <f t="shared" si="5"/>
        <v>4</v>
      </c>
      <c r="N10" s="21" t="s">
        <v>177</v>
      </c>
      <c r="O10" s="22">
        <v>3231239</v>
      </c>
      <c r="P10" s="21" t="s">
        <v>15</v>
      </c>
      <c r="Q10" s="21">
        <v>4</v>
      </c>
      <c r="R10" s="23">
        <v>44433</v>
      </c>
      <c r="S10" s="23">
        <v>45163</v>
      </c>
      <c r="T10" s="19">
        <v>45868</v>
      </c>
      <c r="U10" s="3">
        <f t="shared" si="2"/>
        <v>-705</v>
      </c>
      <c r="V10" s="3" t="str">
        <f t="shared" si="6"/>
        <v>Expired</v>
      </c>
      <c r="W10" s="3" t="str">
        <f t="shared" si="7"/>
        <v>Expired more than 45 Days</v>
      </c>
      <c r="X10" s="3" t="s">
        <v>280</v>
      </c>
      <c r="Y10" s="3" t="str">
        <f>VLOOKUP(O10,[5]Working!$F:$Q,12,0)</f>
        <v>DFIPL Purchase</v>
      </c>
      <c r="Z10" s="2"/>
      <c r="AA10" s="2" t="s">
        <v>116</v>
      </c>
      <c r="AB10"/>
    </row>
    <row r="11" spans="1:28" ht="18.600000000000001" hidden="1" customHeight="1" x14ac:dyDescent="0.3">
      <c r="A11" s="2">
        <v>49</v>
      </c>
      <c r="B11" s="2" t="s">
        <v>210</v>
      </c>
      <c r="C11" s="2" t="s">
        <v>46</v>
      </c>
      <c r="D11" s="2" t="s">
        <v>11</v>
      </c>
      <c r="E11" s="2" t="s">
        <v>12</v>
      </c>
      <c r="F11" s="2">
        <v>5</v>
      </c>
      <c r="G11" s="2">
        <v>2</v>
      </c>
      <c r="H11" s="2">
        <f t="shared" si="8"/>
        <v>10</v>
      </c>
      <c r="I11" s="2"/>
      <c r="J11" s="2">
        <v>0</v>
      </c>
      <c r="K11" s="2">
        <f t="shared" si="3"/>
        <v>0</v>
      </c>
      <c r="L11" s="2">
        <f t="shared" si="4"/>
        <v>0</v>
      </c>
      <c r="M11" s="2">
        <f t="shared" si="5"/>
        <v>10</v>
      </c>
      <c r="N11" s="2" t="s">
        <v>177</v>
      </c>
      <c r="O11" s="18" t="s">
        <v>49</v>
      </c>
      <c r="P11" s="2" t="s">
        <v>45</v>
      </c>
      <c r="Q11" s="2">
        <v>4</v>
      </c>
      <c r="R11" s="19">
        <v>44896</v>
      </c>
      <c r="S11" s="19">
        <v>45261</v>
      </c>
      <c r="T11" s="19">
        <v>45868</v>
      </c>
      <c r="U11" s="3">
        <f t="shared" si="2"/>
        <v>-607</v>
      </c>
      <c r="V11" s="3" t="str">
        <f t="shared" si="6"/>
        <v>Expired</v>
      </c>
      <c r="W11" s="3" t="str">
        <f t="shared" si="7"/>
        <v>Expired more than 45 Days</v>
      </c>
      <c r="X11" s="3" t="s">
        <v>281</v>
      </c>
      <c r="Y11" s="3" t="e">
        <f>VLOOKUP(O11,[5]Working!$F:$Q,12,0)</f>
        <v>#N/A</v>
      </c>
      <c r="Z11" s="2" t="s">
        <v>122</v>
      </c>
      <c r="AA11" s="2" t="s">
        <v>116</v>
      </c>
    </row>
    <row r="12" spans="1:28" s="24" customFormat="1" ht="18.600000000000001" customHeight="1" x14ac:dyDescent="0.3">
      <c r="A12" s="21">
        <v>167</v>
      </c>
      <c r="B12" s="2" t="s">
        <v>183</v>
      </c>
      <c r="C12" s="21" t="s">
        <v>91</v>
      </c>
      <c r="D12" s="21" t="s">
        <v>24</v>
      </c>
      <c r="E12" s="21" t="s">
        <v>12</v>
      </c>
      <c r="F12" s="21">
        <v>16</v>
      </c>
      <c r="G12" s="21">
        <v>1</v>
      </c>
      <c r="H12" s="21">
        <f t="shared" si="8"/>
        <v>16</v>
      </c>
      <c r="I12" s="21"/>
      <c r="J12" s="21">
        <v>0</v>
      </c>
      <c r="K12" s="2">
        <f t="shared" si="3"/>
        <v>0</v>
      </c>
      <c r="L12" s="2">
        <f t="shared" si="4"/>
        <v>0</v>
      </c>
      <c r="M12" s="2">
        <f t="shared" si="5"/>
        <v>16</v>
      </c>
      <c r="N12" s="21" t="s">
        <v>177</v>
      </c>
      <c r="O12" s="25">
        <v>3178665</v>
      </c>
      <c r="P12" s="21" t="s">
        <v>89</v>
      </c>
      <c r="Q12" s="21">
        <v>2</v>
      </c>
      <c r="R12" s="23">
        <v>45091</v>
      </c>
      <c r="S12" s="23">
        <v>46003</v>
      </c>
      <c r="T12" s="19">
        <v>45868</v>
      </c>
      <c r="U12" s="3">
        <f t="shared" si="2"/>
        <v>135</v>
      </c>
      <c r="V12" s="3" t="str">
        <f t="shared" si="6"/>
        <v>Not Expired</v>
      </c>
      <c r="W12" s="3" t="str">
        <f t="shared" si="7"/>
        <v>Not Expire</v>
      </c>
      <c r="X12" s="3" t="s">
        <v>280</v>
      </c>
      <c r="Y12" s="3" t="str">
        <f>VLOOKUP(O12,[5]Working!$F:$Q,12,0)</f>
        <v>DFIPL Purchase</v>
      </c>
      <c r="Z12" s="2"/>
      <c r="AA12" s="2" t="s">
        <v>116</v>
      </c>
      <c r="AB12"/>
    </row>
    <row r="13" spans="1:28" ht="18.600000000000001" hidden="1" customHeight="1" x14ac:dyDescent="0.3">
      <c r="A13" s="2">
        <v>50</v>
      </c>
      <c r="B13" s="2" t="s">
        <v>211</v>
      </c>
      <c r="C13" s="2" t="s">
        <v>47</v>
      </c>
      <c r="D13" s="2" t="s">
        <v>24</v>
      </c>
      <c r="E13" s="2" t="s">
        <v>12</v>
      </c>
      <c r="F13" s="2">
        <v>20</v>
      </c>
      <c r="G13" s="2">
        <v>5</v>
      </c>
      <c r="H13" s="2">
        <f t="shared" si="8"/>
        <v>100</v>
      </c>
      <c r="I13" s="2"/>
      <c r="J13" s="2">
        <v>0</v>
      </c>
      <c r="K13" s="2">
        <f t="shared" si="3"/>
        <v>0</v>
      </c>
      <c r="L13" s="2">
        <f t="shared" si="4"/>
        <v>0</v>
      </c>
      <c r="M13" s="2">
        <f t="shared" si="5"/>
        <v>100</v>
      </c>
      <c r="N13" s="2" t="s">
        <v>177</v>
      </c>
      <c r="O13" s="18" t="s">
        <v>50</v>
      </c>
      <c r="P13" s="2" t="s">
        <v>45</v>
      </c>
      <c r="Q13" s="2">
        <v>4</v>
      </c>
      <c r="R13" s="19">
        <v>44593</v>
      </c>
      <c r="S13" s="19">
        <v>45323</v>
      </c>
      <c r="T13" s="19">
        <v>45868</v>
      </c>
      <c r="U13" s="3">
        <f t="shared" si="2"/>
        <v>-545</v>
      </c>
      <c r="V13" s="3" t="str">
        <f t="shared" si="6"/>
        <v>Expired</v>
      </c>
      <c r="W13" s="3" t="str">
        <f t="shared" si="7"/>
        <v>Expired more than 45 Days</v>
      </c>
      <c r="X13" s="3" t="s">
        <v>281</v>
      </c>
      <c r="Y13" s="3" t="e">
        <f>VLOOKUP(O13,[5]Working!$F:$Q,12,0)</f>
        <v>#N/A</v>
      </c>
      <c r="Z13" s="2" t="s">
        <v>122</v>
      </c>
      <c r="AA13" s="2" t="s">
        <v>116</v>
      </c>
    </row>
    <row r="14" spans="1:28" ht="18.600000000000001" hidden="1" customHeight="1" x14ac:dyDescent="0.3">
      <c r="A14" s="2">
        <v>54</v>
      </c>
      <c r="B14" s="2" t="s">
        <v>212</v>
      </c>
      <c r="C14" s="2" t="s">
        <v>54</v>
      </c>
      <c r="D14" s="2" t="s">
        <v>24</v>
      </c>
      <c r="E14" s="2" t="s">
        <v>12</v>
      </c>
      <c r="F14" s="2">
        <v>20</v>
      </c>
      <c r="G14" s="2">
        <v>4</v>
      </c>
      <c r="H14" s="2">
        <f t="shared" si="8"/>
        <v>80</v>
      </c>
      <c r="I14" s="2"/>
      <c r="J14" s="2">
        <v>0</v>
      </c>
      <c r="K14" s="2">
        <f t="shared" si="3"/>
        <v>0</v>
      </c>
      <c r="L14" s="2">
        <f t="shared" si="4"/>
        <v>0</v>
      </c>
      <c r="M14" s="2">
        <f t="shared" si="5"/>
        <v>80</v>
      </c>
      <c r="N14" s="2" t="s">
        <v>177</v>
      </c>
      <c r="O14" s="18" t="s">
        <v>55</v>
      </c>
      <c r="P14" s="2" t="s">
        <v>45</v>
      </c>
      <c r="Q14" s="2">
        <v>4</v>
      </c>
      <c r="R14" s="19">
        <v>44593</v>
      </c>
      <c r="S14" s="19">
        <v>45323</v>
      </c>
      <c r="T14" s="19">
        <v>45868</v>
      </c>
      <c r="U14" s="3">
        <f t="shared" si="2"/>
        <v>-545</v>
      </c>
      <c r="V14" s="3" t="str">
        <f t="shared" si="6"/>
        <v>Expired</v>
      </c>
      <c r="W14" s="3" t="str">
        <f t="shared" si="7"/>
        <v>Expired more than 45 Days</v>
      </c>
      <c r="X14" s="3" t="s">
        <v>281</v>
      </c>
      <c r="Y14" s="3" t="e">
        <f>VLOOKUP(O14,[5]Working!$F:$Q,12,0)</f>
        <v>#N/A</v>
      </c>
      <c r="Z14" s="2" t="s">
        <v>122</v>
      </c>
      <c r="AA14" s="2" t="s">
        <v>116</v>
      </c>
    </row>
    <row r="15" spans="1:28" ht="18.600000000000001" customHeight="1" x14ac:dyDescent="0.3">
      <c r="A15" s="2">
        <v>173</v>
      </c>
      <c r="B15" s="2" t="s">
        <v>209</v>
      </c>
      <c r="C15" s="2" t="s">
        <v>29</v>
      </c>
      <c r="D15" s="2" t="s">
        <v>24</v>
      </c>
      <c r="E15" s="2" t="s">
        <v>12</v>
      </c>
      <c r="F15" s="2">
        <v>16</v>
      </c>
      <c r="G15" s="2">
        <v>1</v>
      </c>
      <c r="H15" s="2">
        <f t="shared" si="8"/>
        <v>16</v>
      </c>
      <c r="I15" s="2"/>
      <c r="J15" s="2">
        <v>0</v>
      </c>
      <c r="K15" s="2">
        <f t="shared" si="3"/>
        <v>0</v>
      </c>
      <c r="L15" s="2">
        <f t="shared" si="4"/>
        <v>0</v>
      </c>
      <c r="M15" s="2">
        <f t="shared" si="5"/>
        <v>16</v>
      </c>
      <c r="N15" s="2" t="s">
        <v>177</v>
      </c>
      <c r="O15" s="18">
        <v>2736868</v>
      </c>
      <c r="P15" s="2" t="s">
        <v>89</v>
      </c>
      <c r="Q15" s="2">
        <v>2</v>
      </c>
      <c r="R15" s="19">
        <v>44608</v>
      </c>
      <c r="S15" s="19">
        <v>45338</v>
      </c>
      <c r="T15" s="19">
        <v>45868</v>
      </c>
      <c r="U15" s="3">
        <f t="shared" si="2"/>
        <v>-530</v>
      </c>
      <c r="V15" s="3" t="str">
        <f t="shared" si="6"/>
        <v>Expired</v>
      </c>
      <c r="W15" s="3" t="str">
        <f t="shared" si="7"/>
        <v>Expired more than 45 Days</v>
      </c>
      <c r="X15" s="3" t="s">
        <v>280</v>
      </c>
      <c r="Y15" s="3" t="str">
        <f>VLOOKUP(O15,[5]Working!$F:$Q,12,0)</f>
        <v>DFIPL Purchase</v>
      </c>
      <c r="Z15" s="2"/>
      <c r="AA15" s="2" t="s">
        <v>116</v>
      </c>
    </row>
    <row r="16" spans="1:28" ht="18.600000000000001" hidden="1" customHeight="1" x14ac:dyDescent="0.3">
      <c r="A16" s="2">
        <v>52</v>
      </c>
      <c r="B16" s="2" t="s">
        <v>213</v>
      </c>
      <c r="C16" s="2" t="s">
        <v>52</v>
      </c>
      <c r="D16" s="2" t="s">
        <v>11</v>
      </c>
      <c r="E16" s="2" t="s">
        <v>12</v>
      </c>
      <c r="F16" s="2">
        <v>15</v>
      </c>
      <c r="G16" s="2">
        <v>2</v>
      </c>
      <c r="H16" s="2">
        <f t="shared" si="8"/>
        <v>30</v>
      </c>
      <c r="I16" s="2"/>
      <c r="J16" s="2">
        <v>0</v>
      </c>
      <c r="K16" s="2">
        <f t="shared" si="3"/>
        <v>0</v>
      </c>
      <c r="L16" s="2">
        <f t="shared" si="4"/>
        <v>0</v>
      </c>
      <c r="M16" s="2">
        <f t="shared" si="5"/>
        <v>30</v>
      </c>
      <c r="N16" s="2" t="s">
        <v>177</v>
      </c>
      <c r="O16" s="18" t="s">
        <v>53</v>
      </c>
      <c r="P16" s="2" t="s">
        <v>45</v>
      </c>
      <c r="Q16" s="2">
        <v>4</v>
      </c>
      <c r="R16" s="19">
        <v>44866</v>
      </c>
      <c r="S16" s="19">
        <v>45413</v>
      </c>
      <c r="T16" s="19">
        <v>45868</v>
      </c>
      <c r="U16" s="3">
        <f t="shared" si="2"/>
        <v>-455</v>
      </c>
      <c r="V16" s="3" t="str">
        <f t="shared" si="6"/>
        <v>Expired</v>
      </c>
      <c r="W16" s="3" t="str">
        <f t="shared" si="7"/>
        <v>Expired more than 45 Days</v>
      </c>
      <c r="X16" s="3" t="s">
        <v>281</v>
      </c>
      <c r="Y16" s="3" t="e">
        <f>VLOOKUP(O16,[5]Working!$F:$Q,12,0)</f>
        <v>#N/A</v>
      </c>
      <c r="Z16" s="2" t="s">
        <v>122</v>
      </c>
      <c r="AA16" s="2" t="s">
        <v>116</v>
      </c>
    </row>
    <row r="17" spans="1:28" ht="18.600000000000001" customHeight="1" x14ac:dyDescent="0.3">
      <c r="A17" s="2">
        <v>209</v>
      </c>
      <c r="B17" s="2" t="s">
        <v>214</v>
      </c>
      <c r="C17" s="2" t="s">
        <v>99</v>
      </c>
      <c r="D17" s="2" t="s">
        <v>11</v>
      </c>
      <c r="E17" s="2" t="s">
        <v>12</v>
      </c>
      <c r="F17" s="2">
        <v>4</v>
      </c>
      <c r="G17" s="2">
        <v>1</v>
      </c>
      <c r="H17" s="2">
        <f t="shared" si="8"/>
        <v>4</v>
      </c>
      <c r="I17" s="2"/>
      <c r="J17" s="2">
        <v>0</v>
      </c>
      <c r="K17" s="2">
        <f t="shared" si="3"/>
        <v>0</v>
      </c>
      <c r="L17" s="2">
        <f t="shared" si="4"/>
        <v>0</v>
      </c>
      <c r="M17" s="2">
        <f t="shared" si="5"/>
        <v>4</v>
      </c>
      <c r="N17" s="2" t="s">
        <v>177</v>
      </c>
      <c r="O17" s="18">
        <v>2811085</v>
      </c>
      <c r="P17" s="2" t="s">
        <v>89</v>
      </c>
      <c r="Q17" s="2">
        <v>2</v>
      </c>
      <c r="R17" s="19">
        <v>44692</v>
      </c>
      <c r="S17" s="19">
        <v>45422</v>
      </c>
      <c r="T17" s="19">
        <v>45868</v>
      </c>
      <c r="U17" s="3">
        <f t="shared" si="2"/>
        <v>-446</v>
      </c>
      <c r="V17" s="3" t="str">
        <f t="shared" si="6"/>
        <v>Expired</v>
      </c>
      <c r="W17" s="3" t="str">
        <f t="shared" si="7"/>
        <v>Expired more than 45 Days</v>
      </c>
      <c r="X17" s="3" t="s">
        <v>280</v>
      </c>
      <c r="Y17" s="3" t="str">
        <f>VLOOKUP(O17,[5]Working!$F:$Q,12,0)</f>
        <v>DFIPL Purchase</v>
      </c>
      <c r="Z17" s="2"/>
      <c r="AA17" s="2" t="s">
        <v>116</v>
      </c>
    </row>
    <row r="18" spans="1:28" ht="18.600000000000001" customHeight="1" x14ac:dyDescent="0.3">
      <c r="A18" s="2">
        <v>210</v>
      </c>
      <c r="B18" s="2" t="s">
        <v>214</v>
      </c>
      <c r="C18" s="2" t="s">
        <v>99</v>
      </c>
      <c r="D18" s="2" t="s">
        <v>11</v>
      </c>
      <c r="E18" s="2" t="s">
        <v>12</v>
      </c>
      <c r="F18" s="2">
        <v>4</v>
      </c>
      <c r="G18" s="2">
        <v>1</v>
      </c>
      <c r="H18" s="2">
        <f t="shared" si="8"/>
        <v>4</v>
      </c>
      <c r="I18" s="2"/>
      <c r="J18" s="2">
        <v>0</v>
      </c>
      <c r="K18" s="2">
        <f t="shared" si="3"/>
        <v>0</v>
      </c>
      <c r="L18" s="2">
        <f t="shared" si="4"/>
        <v>0</v>
      </c>
      <c r="M18" s="2">
        <f t="shared" si="5"/>
        <v>4</v>
      </c>
      <c r="N18" s="2" t="s">
        <v>177</v>
      </c>
      <c r="O18" s="18">
        <v>2853805</v>
      </c>
      <c r="P18" s="2" t="s">
        <v>89</v>
      </c>
      <c r="Q18" s="2">
        <v>2</v>
      </c>
      <c r="R18" s="19">
        <v>44739</v>
      </c>
      <c r="S18" s="19">
        <v>45469</v>
      </c>
      <c r="T18" s="19">
        <v>45868</v>
      </c>
      <c r="U18" s="3">
        <f t="shared" si="2"/>
        <v>-399</v>
      </c>
      <c r="V18" s="3" t="str">
        <f t="shared" si="6"/>
        <v>Expired</v>
      </c>
      <c r="W18" s="3" t="str">
        <f t="shared" si="7"/>
        <v>Expired more than 45 Days</v>
      </c>
      <c r="X18" s="3" t="s">
        <v>280</v>
      </c>
      <c r="Y18" s="3" t="str">
        <f>VLOOKUP(O18,[5]Working!$F:$Q,12,0)</f>
        <v>DFIPL Purchase</v>
      </c>
      <c r="Z18" s="2"/>
      <c r="AA18" s="2" t="s">
        <v>116</v>
      </c>
    </row>
    <row r="19" spans="1:28" ht="18.600000000000001" customHeight="1" x14ac:dyDescent="0.3">
      <c r="A19" s="2">
        <v>226</v>
      </c>
      <c r="B19" s="2" t="s">
        <v>188</v>
      </c>
      <c r="C19" s="2" t="s">
        <v>78</v>
      </c>
      <c r="D19" s="2" t="s">
        <v>11</v>
      </c>
      <c r="E19" s="2" t="s">
        <v>12</v>
      </c>
      <c r="F19" s="2">
        <v>2.25</v>
      </c>
      <c r="G19" s="2">
        <v>2</v>
      </c>
      <c r="H19" s="2">
        <f t="shared" si="8"/>
        <v>4.5</v>
      </c>
      <c r="I19" s="2"/>
      <c r="J19" s="2">
        <v>0</v>
      </c>
      <c r="K19" s="2">
        <f t="shared" si="3"/>
        <v>0</v>
      </c>
      <c r="L19" s="2">
        <f t="shared" si="4"/>
        <v>0</v>
      </c>
      <c r="M19" s="2">
        <f t="shared" si="5"/>
        <v>4.5</v>
      </c>
      <c r="N19" s="2" t="s">
        <v>177</v>
      </c>
      <c r="O19" s="18">
        <v>2859331</v>
      </c>
      <c r="P19" s="2" t="s">
        <v>89</v>
      </c>
      <c r="Q19" s="2">
        <v>2</v>
      </c>
      <c r="R19" s="19">
        <v>44743</v>
      </c>
      <c r="S19" s="19">
        <v>45473</v>
      </c>
      <c r="T19" s="19">
        <v>45868</v>
      </c>
      <c r="U19" s="3">
        <f t="shared" si="2"/>
        <v>-395</v>
      </c>
      <c r="V19" s="3" t="str">
        <f t="shared" si="6"/>
        <v>Expired</v>
      </c>
      <c r="W19" s="3" t="str">
        <f t="shared" si="7"/>
        <v>Expired more than 45 Days</v>
      </c>
      <c r="X19" s="3" t="s">
        <v>280</v>
      </c>
      <c r="Y19" s="3" t="str">
        <f>VLOOKUP(O19,[5]Working!$F:$Q,12,0)</f>
        <v>DFIPL Purchase</v>
      </c>
      <c r="Z19" s="2"/>
      <c r="AA19" s="2" t="s">
        <v>116</v>
      </c>
    </row>
    <row r="20" spans="1:28" ht="18.600000000000001" hidden="1" customHeight="1" x14ac:dyDescent="0.3">
      <c r="A20" s="2">
        <v>48</v>
      </c>
      <c r="B20" s="2" t="s">
        <v>215</v>
      </c>
      <c r="C20" s="2" t="s">
        <v>44</v>
      </c>
      <c r="D20" s="2" t="s">
        <v>11</v>
      </c>
      <c r="E20" s="2" t="s">
        <v>12</v>
      </c>
      <c r="F20" s="2">
        <v>2.86</v>
      </c>
      <c r="G20" s="2">
        <v>1</v>
      </c>
      <c r="H20" s="2">
        <f t="shared" si="8"/>
        <v>2.86</v>
      </c>
      <c r="I20" s="2"/>
      <c r="J20" s="2">
        <v>0</v>
      </c>
      <c r="K20" s="2">
        <f t="shared" si="3"/>
        <v>0</v>
      </c>
      <c r="L20" s="2">
        <f t="shared" si="4"/>
        <v>0</v>
      </c>
      <c r="M20" s="2">
        <f t="shared" si="5"/>
        <v>2.86</v>
      </c>
      <c r="N20" s="2" t="s">
        <v>177</v>
      </c>
      <c r="O20" s="18" t="s">
        <v>48</v>
      </c>
      <c r="P20" s="2" t="s">
        <v>45</v>
      </c>
      <c r="Q20" s="2">
        <v>4</v>
      </c>
      <c r="R20" s="19">
        <v>44958</v>
      </c>
      <c r="S20" s="19">
        <v>45505</v>
      </c>
      <c r="T20" s="19">
        <v>45868</v>
      </c>
      <c r="U20" s="3">
        <f t="shared" si="2"/>
        <v>-363</v>
      </c>
      <c r="V20" s="3" t="str">
        <f t="shared" si="6"/>
        <v>Expired</v>
      </c>
      <c r="W20" s="3" t="str">
        <f t="shared" si="7"/>
        <v>Expired more than 45 Days</v>
      </c>
      <c r="X20" s="3" t="s">
        <v>281</v>
      </c>
      <c r="Y20" s="3" t="e">
        <f>VLOOKUP(O20,[5]Working!$F:$Q,12,0)</f>
        <v>#N/A</v>
      </c>
      <c r="Z20" s="2" t="s">
        <v>122</v>
      </c>
      <c r="AA20" s="2" t="s">
        <v>116</v>
      </c>
    </row>
    <row r="21" spans="1:28" ht="18.600000000000001" hidden="1" customHeight="1" x14ac:dyDescent="0.3">
      <c r="A21" s="2">
        <v>169</v>
      </c>
      <c r="B21" s="2" t="s">
        <v>216</v>
      </c>
      <c r="C21" s="2" t="s">
        <v>92</v>
      </c>
      <c r="D21" s="2" t="s">
        <v>24</v>
      </c>
      <c r="E21" s="2" t="s">
        <v>12</v>
      </c>
      <c r="F21" s="2">
        <v>9</v>
      </c>
      <c r="G21" s="2">
        <v>1</v>
      </c>
      <c r="H21" s="2">
        <f t="shared" si="8"/>
        <v>9</v>
      </c>
      <c r="I21" s="2"/>
      <c r="J21" s="2">
        <v>0</v>
      </c>
      <c r="K21" s="2">
        <f t="shared" si="3"/>
        <v>0</v>
      </c>
      <c r="L21" s="2">
        <f t="shared" si="4"/>
        <v>0</v>
      </c>
      <c r="M21" s="2">
        <f t="shared" si="5"/>
        <v>9</v>
      </c>
      <c r="N21" s="2" t="s">
        <v>177</v>
      </c>
      <c r="O21" s="18">
        <v>3236808</v>
      </c>
      <c r="P21" s="2" t="s">
        <v>90</v>
      </c>
      <c r="Q21" s="2">
        <v>2</v>
      </c>
      <c r="R21" s="19">
        <v>45152</v>
      </c>
      <c r="S21" s="19">
        <v>45517</v>
      </c>
      <c r="T21" s="19">
        <v>45868</v>
      </c>
      <c r="U21" s="3">
        <f t="shared" si="2"/>
        <v>-351</v>
      </c>
      <c r="V21" s="3" t="str">
        <f t="shared" si="6"/>
        <v>Expired</v>
      </c>
      <c r="W21" s="3" t="str">
        <f t="shared" si="7"/>
        <v>Expired more than 45 Days</v>
      </c>
      <c r="X21" s="3" t="s">
        <v>281</v>
      </c>
      <c r="Y21" s="3" t="e">
        <f>VLOOKUP(O21,[5]Working!$F:$Q,12,0)</f>
        <v>#N/A</v>
      </c>
      <c r="Z21" s="2" t="s">
        <v>121</v>
      </c>
      <c r="AA21" s="2" t="s">
        <v>116</v>
      </c>
    </row>
    <row r="22" spans="1:28" ht="18.600000000000001" hidden="1" customHeight="1" x14ac:dyDescent="0.3">
      <c r="A22" s="2">
        <v>107</v>
      </c>
      <c r="B22" s="2" t="s">
        <v>217</v>
      </c>
      <c r="C22" s="2" t="s">
        <v>61</v>
      </c>
      <c r="D22" s="2" t="s">
        <v>24</v>
      </c>
      <c r="E22" s="2" t="s">
        <v>12</v>
      </c>
      <c r="F22" s="2">
        <v>16</v>
      </c>
      <c r="G22" s="2">
        <v>5</v>
      </c>
      <c r="H22" s="2">
        <f t="shared" si="8"/>
        <v>80</v>
      </c>
      <c r="I22" s="2"/>
      <c r="J22" s="2">
        <v>0</v>
      </c>
      <c r="K22" s="2">
        <f t="shared" si="3"/>
        <v>0</v>
      </c>
      <c r="L22" s="2">
        <f t="shared" si="4"/>
        <v>0</v>
      </c>
      <c r="M22" s="2">
        <f t="shared" si="5"/>
        <v>80</v>
      </c>
      <c r="N22" s="2" t="s">
        <v>177</v>
      </c>
      <c r="O22" s="2">
        <v>73035266</v>
      </c>
      <c r="P22" s="2" t="s">
        <v>73</v>
      </c>
      <c r="Q22" s="2">
        <v>4</v>
      </c>
      <c r="R22" s="19">
        <v>45030</v>
      </c>
      <c r="S22" s="19">
        <v>45518</v>
      </c>
      <c r="T22" s="19">
        <v>45868</v>
      </c>
      <c r="U22" s="3">
        <f t="shared" si="2"/>
        <v>-350</v>
      </c>
      <c r="V22" s="3" t="str">
        <f t="shared" si="6"/>
        <v>Expired</v>
      </c>
      <c r="W22" s="3" t="str">
        <f t="shared" si="7"/>
        <v>Expired more than 45 Days</v>
      </c>
      <c r="X22" s="3" t="s">
        <v>281</v>
      </c>
      <c r="Y22" s="3" t="e">
        <f>VLOOKUP(O22,[5]Working!$F:$Q,12,0)</f>
        <v>#N/A</v>
      </c>
      <c r="Z22" s="2" t="s">
        <v>121</v>
      </c>
      <c r="AA22" s="2" t="s">
        <v>116</v>
      </c>
    </row>
    <row r="23" spans="1:28" ht="18.600000000000001" hidden="1" customHeight="1" x14ac:dyDescent="0.3">
      <c r="A23" s="2">
        <v>51</v>
      </c>
      <c r="B23" s="2" t="s">
        <v>211</v>
      </c>
      <c r="C23" s="2" t="s">
        <v>47</v>
      </c>
      <c r="D23" s="2" t="s">
        <v>24</v>
      </c>
      <c r="E23" s="2" t="s">
        <v>12</v>
      </c>
      <c r="F23" s="2">
        <v>20</v>
      </c>
      <c r="G23" s="2">
        <v>3</v>
      </c>
      <c r="H23" s="2">
        <f t="shared" si="8"/>
        <v>60</v>
      </c>
      <c r="I23" s="2"/>
      <c r="J23" s="2">
        <v>0</v>
      </c>
      <c r="K23" s="2">
        <f t="shared" si="3"/>
        <v>0</v>
      </c>
      <c r="L23" s="2">
        <f t="shared" si="4"/>
        <v>0</v>
      </c>
      <c r="M23" s="2">
        <f t="shared" si="5"/>
        <v>60</v>
      </c>
      <c r="N23" s="2" t="s">
        <v>177</v>
      </c>
      <c r="O23" s="18" t="s">
        <v>51</v>
      </c>
      <c r="P23" s="2" t="s">
        <v>45</v>
      </c>
      <c r="Q23" s="2">
        <v>4</v>
      </c>
      <c r="R23" s="19">
        <v>44835</v>
      </c>
      <c r="S23" s="19">
        <v>45566</v>
      </c>
      <c r="T23" s="19">
        <v>45868</v>
      </c>
      <c r="U23" s="3">
        <f t="shared" si="2"/>
        <v>-302</v>
      </c>
      <c r="V23" s="3" t="str">
        <f t="shared" si="6"/>
        <v>Expired</v>
      </c>
      <c r="W23" s="3" t="str">
        <f t="shared" si="7"/>
        <v>Expired more than 45 Days</v>
      </c>
      <c r="X23" s="3" t="s">
        <v>281</v>
      </c>
      <c r="Y23" s="3" t="e">
        <f>VLOOKUP(O23,[5]Working!$F:$Q,12,0)</f>
        <v>#N/A</v>
      </c>
      <c r="Z23" s="2" t="s">
        <v>122</v>
      </c>
      <c r="AA23" s="2" t="s">
        <v>116</v>
      </c>
    </row>
    <row r="24" spans="1:28" ht="18.600000000000001" customHeight="1" x14ac:dyDescent="0.3">
      <c r="A24" s="2">
        <v>86</v>
      </c>
      <c r="B24" s="2" t="s">
        <v>218</v>
      </c>
      <c r="C24" s="2" t="s">
        <v>25</v>
      </c>
      <c r="D24" s="2"/>
      <c r="E24" s="2" t="s">
        <v>12</v>
      </c>
      <c r="F24" s="2">
        <v>20</v>
      </c>
      <c r="G24" s="2">
        <v>4</v>
      </c>
      <c r="H24" s="2">
        <f t="shared" si="8"/>
        <v>80</v>
      </c>
      <c r="I24" s="2">
        <v>1</v>
      </c>
      <c r="J24" s="2">
        <v>20</v>
      </c>
      <c r="K24" s="2">
        <f t="shared" si="3"/>
        <v>20</v>
      </c>
      <c r="L24" s="2">
        <f t="shared" si="4"/>
        <v>0</v>
      </c>
      <c r="M24" s="2">
        <f t="shared" si="5"/>
        <v>60</v>
      </c>
      <c r="N24" s="2" t="s">
        <v>177</v>
      </c>
      <c r="O24" s="18">
        <v>3682857</v>
      </c>
      <c r="P24" s="2" t="s">
        <v>15</v>
      </c>
      <c r="Q24" s="2">
        <v>4</v>
      </c>
      <c r="R24" s="19">
        <v>45575</v>
      </c>
      <c r="S24" s="19">
        <v>45574</v>
      </c>
      <c r="T24" s="19">
        <v>45868</v>
      </c>
      <c r="U24" s="3">
        <f t="shared" si="2"/>
        <v>-294</v>
      </c>
      <c r="V24" s="3" t="str">
        <f t="shared" si="6"/>
        <v>Expired</v>
      </c>
      <c r="W24" s="3" t="str">
        <f t="shared" si="7"/>
        <v>Expired more than 45 Days</v>
      </c>
      <c r="X24" s="3" t="s">
        <v>280</v>
      </c>
      <c r="Y24" s="3" t="str">
        <f>VLOOKUP(O24,[5]Working!$F:$Q,12,0)</f>
        <v>DFIPL Purchase</v>
      </c>
      <c r="Z24" s="2"/>
      <c r="AA24" s="2" t="s">
        <v>116</v>
      </c>
      <c r="AB24" t="s">
        <v>157</v>
      </c>
    </row>
    <row r="25" spans="1:28" ht="18.600000000000001" customHeight="1" x14ac:dyDescent="0.3">
      <c r="A25" s="2">
        <v>212</v>
      </c>
      <c r="B25" s="2" t="s">
        <v>219</v>
      </c>
      <c r="C25" s="2" t="s">
        <v>100</v>
      </c>
      <c r="D25" s="2" t="s">
        <v>24</v>
      </c>
      <c r="E25" s="2" t="s">
        <v>12</v>
      </c>
      <c r="F25" s="2">
        <v>16</v>
      </c>
      <c r="G25" s="2">
        <v>1</v>
      </c>
      <c r="H25" s="2">
        <f t="shared" si="8"/>
        <v>16</v>
      </c>
      <c r="I25" s="2"/>
      <c r="J25" s="2">
        <v>0</v>
      </c>
      <c r="K25" s="2">
        <f t="shared" si="3"/>
        <v>0</v>
      </c>
      <c r="L25" s="2">
        <f t="shared" si="4"/>
        <v>0</v>
      </c>
      <c r="M25" s="2">
        <f t="shared" si="5"/>
        <v>16</v>
      </c>
      <c r="N25" s="2" t="s">
        <v>178</v>
      </c>
      <c r="O25" s="18">
        <v>2415759</v>
      </c>
      <c r="P25" s="2" t="s">
        <v>89</v>
      </c>
      <c r="Q25" s="2">
        <v>2</v>
      </c>
      <c r="R25" s="19">
        <v>44230</v>
      </c>
      <c r="S25" s="19">
        <v>45690</v>
      </c>
      <c r="T25" s="19">
        <v>45868</v>
      </c>
      <c r="U25" s="3">
        <f t="shared" si="2"/>
        <v>-178</v>
      </c>
      <c r="V25" s="3" t="str">
        <f t="shared" si="6"/>
        <v>Expired</v>
      </c>
      <c r="W25" s="3" t="str">
        <f t="shared" si="7"/>
        <v>Expired more than 45 Days</v>
      </c>
      <c r="X25" s="3" t="s">
        <v>280</v>
      </c>
      <c r="Y25" s="3" t="str">
        <f>VLOOKUP(O25,[5]Working!$F:$Q,12,0)</f>
        <v>DFIPL Purchase</v>
      </c>
      <c r="Z25" s="2"/>
      <c r="AA25" s="2" t="s">
        <v>116</v>
      </c>
    </row>
    <row r="26" spans="1:28" ht="18.600000000000001" customHeight="1" x14ac:dyDescent="0.3">
      <c r="A26" s="2">
        <v>65</v>
      </c>
      <c r="B26" s="2" t="s">
        <v>220</v>
      </c>
      <c r="C26" s="2" t="s">
        <v>36</v>
      </c>
      <c r="D26" s="2" t="s">
        <v>24</v>
      </c>
      <c r="E26" s="2" t="s">
        <v>12</v>
      </c>
      <c r="F26" s="2">
        <v>17.39</v>
      </c>
      <c r="G26" s="2">
        <v>1</v>
      </c>
      <c r="H26" s="2">
        <f t="shared" si="8"/>
        <v>17.39</v>
      </c>
      <c r="I26" s="2"/>
      <c r="J26" s="2">
        <v>0</v>
      </c>
      <c r="K26" s="2">
        <f t="shared" si="3"/>
        <v>0</v>
      </c>
      <c r="L26" s="2">
        <f t="shared" si="4"/>
        <v>0</v>
      </c>
      <c r="M26" s="2">
        <f t="shared" si="5"/>
        <v>17.39</v>
      </c>
      <c r="N26" s="2" t="s">
        <v>178</v>
      </c>
      <c r="O26" s="18">
        <v>2418301</v>
      </c>
      <c r="P26" s="2" t="s">
        <v>15</v>
      </c>
      <c r="Q26" s="2">
        <v>4</v>
      </c>
      <c r="R26" s="19">
        <v>44232</v>
      </c>
      <c r="S26" s="19">
        <v>45692</v>
      </c>
      <c r="T26" s="19">
        <v>45868</v>
      </c>
      <c r="U26" s="3">
        <f t="shared" si="2"/>
        <v>-176</v>
      </c>
      <c r="V26" s="3" t="str">
        <f t="shared" si="6"/>
        <v>Expired</v>
      </c>
      <c r="W26" s="3" t="str">
        <f t="shared" si="7"/>
        <v>Expired more than 45 Days</v>
      </c>
      <c r="X26" s="3" t="s">
        <v>280</v>
      </c>
      <c r="Y26" s="3" t="str">
        <f>VLOOKUP(O26,[5]Working!$F:$Q,12,0)</f>
        <v>DFIPL Purchase</v>
      </c>
      <c r="Z26" s="2"/>
      <c r="AA26" s="2" t="s">
        <v>116</v>
      </c>
    </row>
    <row r="27" spans="1:28" ht="18.600000000000001" customHeight="1" x14ac:dyDescent="0.3">
      <c r="A27" s="2">
        <v>197</v>
      </c>
      <c r="B27" s="2" t="s">
        <v>186</v>
      </c>
      <c r="C27" s="2" t="s">
        <v>94</v>
      </c>
      <c r="D27" s="2" t="s">
        <v>24</v>
      </c>
      <c r="E27" s="2" t="s">
        <v>12</v>
      </c>
      <c r="F27" s="2">
        <v>16.7</v>
      </c>
      <c r="G27" s="2">
        <v>4</v>
      </c>
      <c r="H27" s="2">
        <f t="shared" si="8"/>
        <v>66.8</v>
      </c>
      <c r="I27" s="2"/>
      <c r="J27" s="2">
        <v>0</v>
      </c>
      <c r="K27" s="2">
        <f t="shared" si="3"/>
        <v>0</v>
      </c>
      <c r="L27" s="2">
        <f t="shared" si="4"/>
        <v>0</v>
      </c>
      <c r="M27" s="2">
        <f t="shared" si="5"/>
        <v>66.8</v>
      </c>
      <c r="N27" s="2" t="s">
        <v>177</v>
      </c>
      <c r="O27" s="18">
        <v>2422866</v>
      </c>
      <c r="P27" s="2" t="s">
        <v>89</v>
      </c>
      <c r="Q27" s="2">
        <v>2</v>
      </c>
      <c r="R27" s="19">
        <v>44237</v>
      </c>
      <c r="S27" s="19">
        <v>45697</v>
      </c>
      <c r="T27" s="19">
        <v>45868</v>
      </c>
      <c r="U27" s="3">
        <f t="shared" si="2"/>
        <v>-171</v>
      </c>
      <c r="V27" s="3" t="str">
        <f t="shared" si="6"/>
        <v>Expired</v>
      </c>
      <c r="W27" s="3" t="str">
        <f t="shared" si="7"/>
        <v>Expired more than 45 Days</v>
      </c>
      <c r="X27" s="3" t="s">
        <v>280</v>
      </c>
      <c r="Y27" s="3" t="str">
        <f>VLOOKUP(O27,[5]Working!$F:$Q,12,0)</f>
        <v>DFIPL Purchase</v>
      </c>
      <c r="Z27" s="2"/>
      <c r="AA27" s="2" t="s">
        <v>116</v>
      </c>
    </row>
    <row r="28" spans="1:28" ht="18.600000000000001" customHeight="1" x14ac:dyDescent="0.3">
      <c r="A28" s="2">
        <v>58</v>
      </c>
      <c r="B28" s="2" t="s">
        <v>209</v>
      </c>
      <c r="C28" s="2" t="s">
        <v>29</v>
      </c>
      <c r="D28" s="2" t="s">
        <v>24</v>
      </c>
      <c r="E28" s="2" t="s">
        <v>12</v>
      </c>
      <c r="F28" s="2">
        <v>16</v>
      </c>
      <c r="G28" s="2">
        <v>1</v>
      </c>
      <c r="H28" s="2">
        <f t="shared" si="8"/>
        <v>16</v>
      </c>
      <c r="I28" s="2"/>
      <c r="J28" s="2">
        <v>0</v>
      </c>
      <c r="K28" s="2">
        <f t="shared" si="3"/>
        <v>0</v>
      </c>
      <c r="L28" s="2">
        <f t="shared" si="4"/>
        <v>0</v>
      </c>
      <c r="M28" s="2">
        <f t="shared" si="5"/>
        <v>16</v>
      </c>
      <c r="N28" s="2" t="s">
        <v>177</v>
      </c>
      <c r="O28" s="18">
        <v>3061070</v>
      </c>
      <c r="P28" s="2" t="s">
        <v>15</v>
      </c>
      <c r="Q28" s="2">
        <v>4</v>
      </c>
      <c r="R28" s="19">
        <v>44972</v>
      </c>
      <c r="S28" s="19">
        <v>45702</v>
      </c>
      <c r="T28" s="19">
        <v>45868</v>
      </c>
      <c r="U28" s="3">
        <f t="shared" si="2"/>
        <v>-166</v>
      </c>
      <c r="V28" s="3" t="str">
        <f t="shared" si="6"/>
        <v>Expired</v>
      </c>
      <c r="W28" s="3" t="str">
        <f t="shared" si="7"/>
        <v>Expired more than 45 Days</v>
      </c>
      <c r="X28" s="3" t="s">
        <v>280</v>
      </c>
      <c r="Y28" s="3" t="str">
        <f>VLOOKUP(O28,[5]Working!$F:$Q,12,0)</f>
        <v>DFIPL Purchase</v>
      </c>
      <c r="Z28" s="2"/>
      <c r="AA28" s="2" t="s">
        <v>116</v>
      </c>
    </row>
    <row r="29" spans="1:28" ht="18.600000000000001" hidden="1" customHeight="1" x14ac:dyDescent="0.3">
      <c r="A29" s="2">
        <v>106</v>
      </c>
      <c r="B29" s="2" t="s">
        <v>221</v>
      </c>
      <c r="C29" s="2" t="s">
        <v>66</v>
      </c>
      <c r="D29" s="2" t="s">
        <v>24</v>
      </c>
      <c r="E29" s="2" t="s">
        <v>12</v>
      </c>
      <c r="F29" s="2">
        <v>17.5</v>
      </c>
      <c r="G29" s="2">
        <v>1</v>
      </c>
      <c r="H29" s="2">
        <f t="shared" si="8"/>
        <v>17.5</v>
      </c>
      <c r="I29" s="2"/>
      <c r="J29" s="2">
        <v>0</v>
      </c>
      <c r="K29" s="2">
        <f t="shared" si="3"/>
        <v>0</v>
      </c>
      <c r="L29" s="2">
        <f t="shared" si="4"/>
        <v>0</v>
      </c>
      <c r="M29" s="2">
        <f t="shared" si="5"/>
        <v>17.5</v>
      </c>
      <c r="N29" s="2" t="s">
        <v>177</v>
      </c>
      <c r="O29" s="18">
        <v>73025053</v>
      </c>
      <c r="P29" s="2" t="s">
        <v>73</v>
      </c>
      <c r="Q29" s="2">
        <v>4</v>
      </c>
      <c r="R29" s="19">
        <v>44971</v>
      </c>
      <c r="S29" s="19">
        <v>45702</v>
      </c>
      <c r="T29" s="19">
        <v>45868</v>
      </c>
      <c r="U29" s="3">
        <f t="shared" si="2"/>
        <v>-166</v>
      </c>
      <c r="V29" s="3" t="str">
        <f t="shared" si="6"/>
        <v>Expired</v>
      </c>
      <c r="W29" s="3" t="str">
        <f t="shared" si="7"/>
        <v>Expired more than 45 Days</v>
      </c>
      <c r="X29" s="3" t="s">
        <v>281</v>
      </c>
      <c r="Y29" s="3" t="e">
        <f>VLOOKUP(O29,[5]Working!$F:$Q,12,0)</f>
        <v>#N/A</v>
      </c>
      <c r="Z29" s="2" t="s">
        <v>121</v>
      </c>
      <c r="AA29" s="2" t="s">
        <v>116</v>
      </c>
    </row>
    <row r="30" spans="1:28" ht="18.600000000000001" customHeight="1" x14ac:dyDescent="0.3">
      <c r="A30" s="2">
        <v>174</v>
      </c>
      <c r="B30" s="2" t="s">
        <v>209</v>
      </c>
      <c r="C30" s="2" t="s">
        <v>29</v>
      </c>
      <c r="D30" s="2" t="s">
        <v>24</v>
      </c>
      <c r="E30" s="2" t="s">
        <v>12</v>
      </c>
      <c r="F30" s="2">
        <v>16</v>
      </c>
      <c r="G30" s="2">
        <v>1</v>
      </c>
      <c r="H30" s="2">
        <f t="shared" si="8"/>
        <v>16</v>
      </c>
      <c r="I30" s="2"/>
      <c r="J30" s="2">
        <v>0</v>
      </c>
      <c r="K30" s="2">
        <f t="shared" si="3"/>
        <v>0</v>
      </c>
      <c r="L30" s="2">
        <f t="shared" si="4"/>
        <v>0</v>
      </c>
      <c r="M30" s="2">
        <f t="shared" si="5"/>
        <v>16</v>
      </c>
      <c r="N30" s="2" t="s">
        <v>177</v>
      </c>
      <c r="O30" s="18">
        <v>3061070</v>
      </c>
      <c r="P30" s="2" t="s">
        <v>89</v>
      </c>
      <c r="Q30" s="2">
        <v>2</v>
      </c>
      <c r="R30" s="19">
        <v>44972</v>
      </c>
      <c r="S30" s="19">
        <v>45702</v>
      </c>
      <c r="T30" s="19">
        <v>45868</v>
      </c>
      <c r="U30" s="3">
        <f t="shared" si="2"/>
        <v>-166</v>
      </c>
      <c r="V30" s="3" t="str">
        <f t="shared" si="6"/>
        <v>Expired</v>
      </c>
      <c r="W30" s="3" t="str">
        <f t="shared" si="7"/>
        <v>Expired more than 45 Days</v>
      </c>
      <c r="X30" s="3" t="s">
        <v>280</v>
      </c>
      <c r="Y30" s="3" t="str">
        <f>VLOOKUP(O30,[5]Working!$F:$Q,12,0)</f>
        <v>DFIPL Purchase</v>
      </c>
      <c r="Z30" s="2"/>
      <c r="AA30" s="2" t="s">
        <v>116</v>
      </c>
    </row>
    <row r="31" spans="1:28" ht="18.600000000000001" customHeight="1" x14ac:dyDescent="0.3">
      <c r="A31" s="2">
        <v>108</v>
      </c>
      <c r="B31" s="2" t="s">
        <v>222</v>
      </c>
      <c r="C31" s="2" t="s">
        <v>30</v>
      </c>
      <c r="D31" s="2" t="s">
        <v>24</v>
      </c>
      <c r="E31" s="2" t="s">
        <v>12</v>
      </c>
      <c r="F31" s="2">
        <v>16</v>
      </c>
      <c r="G31" s="2">
        <v>1</v>
      </c>
      <c r="H31" s="2">
        <f t="shared" si="8"/>
        <v>16</v>
      </c>
      <c r="I31" s="2"/>
      <c r="J31" s="2">
        <v>0</v>
      </c>
      <c r="K31" s="2">
        <f t="shared" si="3"/>
        <v>0</v>
      </c>
      <c r="L31" s="2">
        <f t="shared" si="4"/>
        <v>0</v>
      </c>
      <c r="M31" s="2">
        <f t="shared" si="5"/>
        <v>16</v>
      </c>
      <c r="N31" s="2" t="s">
        <v>177</v>
      </c>
      <c r="O31" s="18">
        <v>3070411</v>
      </c>
      <c r="P31" s="2" t="s">
        <v>15</v>
      </c>
      <c r="Q31" s="2">
        <v>4</v>
      </c>
      <c r="R31" s="19">
        <v>44981</v>
      </c>
      <c r="S31" s="19">
        <v>45711</v>
      </c>
      <c r="T31" s="19">
        <v>45868</v>
      </c>
      <c r="U31" s="3">
        <f t="shared" si="2"/>
        <v>-157</v>
      </c>
      <c r="V31" s="3" t="str">
        <f t="shared" si="6"/>
        <v>Expired</v>
      </c>
      <c r="W31" s="3" t="str">
        <f t="shared" si="7"/>
        <v>Expired more than 45 Days</v>
      </c>
      <c r="X31" s="3" t="s">
        <v>280</v>
      </c>
      <c r="Y31" s="3" t="str">
        <f>VLOOKUP(O31,[5]Working!$F:$Q,12,0)</f>
        <v>DFIPL Purchase</v>
      </c>
      <c r="Z31" s="2"/>
      <c r="AA31" s="2" t="s">
        <v>116</v>
      </c>
    </row>
    <row r="32" spans="1:28" ht="18.600000000000001" customHeight="1" x14ac:dyDescent="0.3">
      <c r="A32" s="2">
        <v>59</v>
      </c>
      <c r="B32" s="2" t="s">
        <v>173</v>
      </c>
      <c r="C32" s="13" t="s">
        <v>173</v>
      </c>
      <c r="D32" s="2" t="s">
        <v>24</v>
      </c>
      <c r="E32" s="2" t="s">
        <v>12</v>
      </c>
      <c r="F32" s="2">
        <v>16.829999999999998</v>
      </c>
      <c r="G32" s="2">
        <v>1</v>
      </c>
      <c r="H32" s="2">
        <f t="shared" si="8"/>
        <v>16.829999999999998</v>
      </c>
      <c r="I32" s="2"/>
      <c r="J32" s="2">
        <v>0</v>
      </c>
      <c r="K32" s="2">
        <f t="shared" si="3"/>
        <v>0</v>
      </c>
      <c r="L32" s="2">
        <f t="shared" si="4"/>
        <v>0</v>
      </c>
      <c r="M32" s="2">
        <f t="shared" si="5"/>
        <v>16.829999999999998</v>
      </c>
      <c r="N32" s="2" t="s">
        <v>177</v>
      </c>
      <c r="O32" s="18">
        <v>2426573</v>
      </c>
      <c r="P32" s="2" t="s">
        <v>15</v>
      </c>
      <c r="Q32" s="2">
        <v>4</v>
      </c>
      <c r="R32" s="19">
        <v>44261</v>
      </c>
      <c r="S32" s="19">
        <v>45721</v>
      </c>
      <c r="T32" s="19">
        <v>45868</v>
      </c>
      <c r="U32" s="3">
        <f t="shared" si="2"/>
        <v>-147</v>
      </c>
      <c r="V32" s="3" t="str">
        <f t="shared" si="6"/>
        <v>Expired</v>
      </c>
      <c r="W32" s="3" t="str">
        <f t="shared" si="7"/>
        <v>Expired more than 45 Days</v>
      </c>
      <c r="X32" s="3" t="s">
        <v>280</v>
      </c>
      <c r="Y32" s="3" t="str">
        <f>VLOOKUP(O32,[5]Working!$F:$Q,12,0)</f>
        <v>DFIPL Purchase</v>
      </c>
      <c r="Z32" s="2"/>
      <c r="AA32" s="2" t="s">
        <v>116</v>
      </c>
    </row>
    <row r="33" spans="1:28" ht="18.600000000000001" hidden="1" customHeight="1" x14ac:dyDescent="0.3">
      <c r="A33" s="2">
        <v>105</v>
      </c>
      <c r="B33" s="2" t="s">
        <v>223</v>
      </c>
      <c r="C33" s="2" t="s">
        <v>74</v>
      </c>
      <c r="D33" s="2" t="s">
        <v>24</v>
      </c>
      <c r="E33" s="2" t="s">
        <v>12</v>
      </c>
      <c r="F33" s="2">
        <v>17.5</v>
      </c>
      <c r="G33" s="2">
        <v>7</v>
      </c>
      <c r="H33" s="2">
        <f t="shared" si="8"/>
        <v>122.5</v>
      </c>
      <c r="I33" s="2"/>
      <c r="J33" s="2">
        <v>0</v>
      </c>
      <c r="K33" s="2">
        <f t="shared" si="3"/>
        <v>0</v>
      </c>
      <c r="L33" s="2">
        <f t="shared" si="4"/>
        <v>0</v>
      </c>
      <c r="M33" s="2">
        <f t="shared" si="5"/>
        <v>122.5</v>
      </c>
      <c r="N33" s="2" t="s">
        <v>177</v>
      </c>
      <c r="O33" s="18">
        <v>73045293</v>
      </c>
      <c r="P33" s="2" t="s">
        <v>73</v>
      </c>
      <c r="Q33" s="2">
        <v>4</v>
      </c>
      <c r="R33" s="19">
        <v>45044</v>
      </c>
      <c r="S33" s="19">
        <v>45775</v>
      </c>
      <c r="T33" s="19">
        <v>45868</v>
      </c>
      <c r="U33" s="3">
        <f t="shared" si="2"/>
        <v>-93</v>
      </c>
      <c r="V33" s="3" t="str">
        <f t="shared" si="6"/>
        <v>Expired</v>
      </c>
      <c r="W33" s="3" t="str">
        <f t="shared" si="7"/>
        <v>Expired more than 45 Days</v>
      </c>
      <c r="X33" s="3" t="s">
        <v>281</v>
      </c>
      <c r="Y33" s="3" t="e">
        <f>VLOOKUP(O33,[5]Working!$F:$Q,12,0)</f>
        <v>#N/A</v>
      </c>
      <c r="Z33" s="2" t="s">
        <v>121</v>
      </c>
      <c r="AA33" s="2" t="s">
        <v>116</v>
      </c>
    </row>
    <row r="34" spans="1:28" ht="18.600000000000001" hidden="1" customHeight="1" x14ac:dyDescent="0.3">
      <c r="A34" s="2">
        <v>176</v>
      </c>
      <c r="B34" s="2" t="s">
        <v>224</v>
      </c>
      <c r="C34" s="2" t="s">
        <v>29</v>
      </c>
      <c r="D34" s="2" t="s">
        <v>24</v>
      </c>
      <c r="E34" s="2" t="s">
        <v>12</v>
      </c>
      <c r="F34" s="2">
        <v>16</v>
      </c>
      <c r="G34" s="2">
        <v>2</v>
      </c>
      <c r="H34" s="2">
        <f t="shared" si="8"/>
        <v>32</v>
      </c>
      <c r="I34" s="2"/>
      <c r="J34" s="2">
        <v>0</v>
      </c>
      <c r="K34" s="2">
        <f t="shared" si="3"/>
        <v>0</v>
      </c>
      <c r="L34" s="2">
        <f t="shared" si="4"/>
        <v>0</v>
      </c>
      <c r="M34" s="2">
        <f t="shared" si="5"/>
        <v>32</v>
      </c>
      <c r="N34" s="2" t="s">
        <v>177</v>
      </c>
      <c r="O34" s="18">
        <v>3188271</v>
      </c>
      <c r="P34" s="2" t="s">
        <v>90</v>
      </c>
      <c r="Q34" s="2">
        <v>2</v>
      </c>
      <c r="R34" s="19">
        <v>45099</v>
      </c>
      <c r="S34" s="19">
        <v>45829</v>
      </c>
      <c r="T34" s="19">
        <v>45868</v>
      </c>
      <c r="U34" s="3">
        <f t="shared" si="2"/>
        <v>-39</v>
      </c>
      <c r="V34" s="3" t="str">
        <f t="shared" si="6"/>
        <v>Expired</v>
      </c>
      <c r="W34" s="3" t="str">
        <f t="shared" si="7"/>
        <v>Recently Expired within 45 Days ago</v>
      </c>
      <c r="X34" s="3" t="s">
        <v>281</v>
      </c>
      <c r="Y34" s="3" t="e">
        <f>VLOOKUP(O34,[5]Working!$F:$Q,12,0)</f>
        <v>#N/A</v>
      </c>
      <c r="Z34" s="2" t="s">
        <v>121</v>
      </c>
      <c r="AA34" s="2" t="s">
        <v>116</v>
      </c>
    </row>
    <row r="35" spans="1:28" ht="18.600000000000001" hidden="1" customHeight="1" x14ac:dyDescent="0.3">
      <c r="A35" s="2">
        <v>177</v>
      </c>
      <c r="B35" s="2" t="s">
        <v>224</v>
      </c>
      <c r="C35" s="2" t="s">
        <v>29</v>
      </c>
      <c r="D35" s="2" t="s">
        <v>24</v>
      </c>
      <c r="E35" s="2" t="s">
        <v>12</v>
      </c>
      <c r="F35" s="2">
        <v>16</v>
      </c>
      <c r="G35" s="2">
        <v>5</v>
      </c>
      <c r="H35" s="2">
        <f t="shared" si="8"/>
        <v>80</v>
      </c>
      <c r="I35" s="2"/>
      <c r="J35" s="2">
        <v>0</v>
      </c>
      <c r="K35" s="2">
        <f t="shared" si="3"/>
        <v>0</v>
      </c>
      <c r="L35" s="2">
        <f t="shared" si="4"/>
        <v>0</v>
      </c>
      <c r="M35" s="2">
        <f t="shared" si="5"/>
        <v>80</v>
      </c>
      <c r="N35" s="2" t="s">
        <v>177</v>
      </c>
      <c r="O35" s="18">
        <v>3188354</v>
      </c>
      <c r="P35" s="2" t="s">
        <v>90</v>
      </c>
      <c r="Q35" s="2">
        <v>2</v>
      </c>
      <c r="R35" s="19">
        <v>45099</v>
      </c>
      <c r="S35" s="19">
        <v>45829</v>
      </c>
      <c r="T35" s="19">
        <v>45868</v>
      </c>
      <c r="U35" s="3">
        <f t="shared" si="2"/>
        <v>-39</v>
      </c>
      <c r="V35" s="3" t="str">
        <f t="shared" si="6"/>
        <v>Expired</v>
      </c>
      <c r="W35" s="3" t="str">
        <f t="shared" si="7"/>
        <v>Recently Expired within 45 Days ago</v>
      </c>
      <c r="X35" s="3" t="s">
        <v>281</v>
      </c>
      <c r="Y35" s="3" t="e">
        <f>VLOOKUP(O35,[5]Working!$F:$Q,12,0)</f>
        <v>#N/A</v>
      </c>
      <c r="Z35" s="2" t="s">
        <v>121</v>
      </c>
      <c r="AA35" s="2" t="s">
        <v>116</v>
      </c>
    </row>
    <row r="36" spans="1:28" ht="18.600000000000001" customHeight="1" x14ac:dyDescent="0.3">
      <c r="A36" s="2">
        <v>217</v>
      </c>
      <c r="B36" s="2" t="s">
        <v>225</v>
      </c>
      <c r="C36" s="2" t="s">
        <v>102</v>
      </c>
      <c r="D36" s="2" t="s">
        <v>24</v>
      </c>
      <c r="E36" s="2" t="s">
        <v>12</v>
      </c>
      <c r="F36" s="2">
        <v>8</v>
      </c>
      <c r="G36" s="2">
        <v>3</v>
      </c>
      <c r="H36" s="2">
        <f t="shared" si="8"/>
        <v>24</v>
      </c>
      <c r="I36" s="2"/>
      <c r="J36" s="2">
        <v>0</v>
      </c>
      <c r="K36" s="2">
        <f t="shared" si="3"/>
        <v>0</v>
      </c>
      <c r="L36" s="2">
        <f t="shared" si="4"/>
        <v>0</v>
      </c>
      <c r="M36" s="2">
        <f t="shared" si="5"/>
        <v>24</v>
      </c>
      <c r="N36" s="2" t="s">
        <v>177</v>
      </c>
      <c r="O36" s="18">
        <v>3773005</v>
      </c>
      <c r="P36" s="2" t="s">
        <v>89</v>
      </c>
      <c r="Q36" s="2">
        <v>2</v>
      </c>
      <c r="R36" s="19">
        <v>45645</v>
      </c>
      <c r="S36" s="19">
        <v>45834</v>
      </c>
      <c r="T36" s="19">
        <v>45868</v>
      </c>
      <c r="U36" s="3">
        <f t="shared" si="2"/>
        <v>-34</v>
      </c>
      <c r="V36" s="3" t="str">
        <f t="shared" si="6"/>
        <v>Expired</v>
      </c>
      <c r="W36" s="3" t="str">
        <f t="shared" si="7"/>
        <v>Recently Expired within 45 Days ago</v>
      </c>
      <c r="X36" s="3" t="s">
        <v>280</v>
      </c>
      <c r="Y36" s="3" t="str">
        <f>VLOOKUP(O36,[5]Working!$F:$Q,12,0)</f>
        <v>DFIPL Purchase</v>
      </c>
      <c r="Z36" s="2"/>
      <c r="AA36" s="2" t="s">
        <v>116</v>
      </c>
    </row>
    <row r="37" spans="1:28" ht="18.600000000000001" customHeight="1" x14ac:dyDescent="0.3">
      <c r="A37" s="2">
        <v>225</v>
      </c>
      <c r="B37" s="2" t="s">
        <v>188</v>
      </c>
      <c r="C37" s="2" t="s">
        <v>105</v>
      </c>
      <c r="D37" s="2" t="s">
        <v>11</v>
      </c>
      <c r="E37" s="2" t="s">
        <v>12</v>
      </c>
      <c r="F37" s="2">
        <v>1.8</v>
      </c>
      <c r="G37" s="2">
        <v>2</v>
      </c>
      <c r="H37" s="2">
        <f t="shared" si="8"/>
        <v>3.6</v>
      </c>
      <c r="I37" s="2"/>
      <c r="J37" s="2">
        <v>0</v>
      </c>
      <c r="K37" s="2">
        <f t="shared" si="3"/>
        <v>0</v>
      </c>
      <c r="L37" s="2">
        <f t="shared" si="4"/>
        <v>0</v>
      </c>
      <c r="M37" s="2">
        <f t="shared" si="5"/>
        <v>3.6</v>
      </c>
      <c r="N37" s="2" t="s">
        <v>177</v>
      </c>
      <c r="O37" s="18">
        <v>3215909</v>
      </c>
      <c r="P37" s="2" t="s">
        <v>89</v>
      </c>
      <c r="Q37" s="2">
        <v>2</v>
      </c>
      <c r="R37" s="19">
        <v>45131</v>
      </c>
      <c r="S37" s="19">
        <v>45861</v>
      </c>
      <c r="T37" s="19">
        <v>45868</v>
      </c>
      <c r="U37" s="3">
        <f t="shared" si="2"/>
        <v>-7</v>
      </c>
      <c r="V37" s="3" t="str">
        <f t="shared" si="6"/>
        <v>Expired</v>
      </c>
      <c r="W37" s="3" t="str">
        <f t="shared" si="7"/>
        <v>Recently Expired within 45 Days ago</v>
      </c>
      <c r="X37" s="3" t="s">
        <v>280</v>
      </c>
      <c r="Y37" s="3" t="str">
        <f>VLOOKUP(O37,[5]Working!$F:$Q,12,0)</f>
        <v>DFIPL Purchase</v>
      </c>
      <c r="Z37" s="2"/>
      <c r="AA37" s="2" t="s">
        <v>116</v>
      </c>
    </row>
    <row r="38" spans="1:28" ht="14.4" hidden="1" x14ac:dyDescent="0.3">
      <c r="A38" s="2">
        <v>216</v>
      </c>
      <c r="B38" s="2" t="s">
        <v>226</v>
      </c>
      <c r="C38" s="2" t="s">
        <v>30</v>
      </c>
      <c r="D38" s="2" t="s">
        <v>24</v>
      </c>
      <c r="E38" s="2" t="s">
        <v>12</v>
      </c>
      <c r="F38" s="2">
        <v>16</v>
      </c>
      <c r="G38" s="2">
        <v>1</v>
      </c>
      <c r="H38" s="2">
        <f t="shared" si="8"/>
        <v>16</v>
      </c>
      <c r="I38" s="2"/>
      <c r="J38" s="2">
        <v>0</v>
      </c>
      <c r="K38" s="2">
        <f t="shared" si="3"/>
        <v>0</v>
      </c>
      <c r="L38" s="2">
        <f t="shared" si="4"/>
        <v>0</v>
      </c>
      <c r="M38" s="2">
        <f t="shared" si="5"/>
        <v>16</v>
      </c>
      <c r="N38" s="2" t="s">
        <v>177</v>
      </c>
      <c r="O38" s="18">
        <v>3221407</v>
      </c>
      <c r="P38" s="2" t="s">
        <v>90</v>
      </c>
      <c r="Q38" s="2">
        <v>2</v>
      </c>
      <c r="R38" s="19">
        <v>45135</v>
      </c>
      <c r="S38" s="19">
        <v>45865</v>
      </c>
      <c r="T38" s="19">
        <v>45868</v>
      </c>
      <c r="U38" s="3">
        <f t="shared" si="2"/>
        <v>-3</v>
      </c>
      <c r="V38" s="3" t="str">
        <f t="shared" si="6"/>
        <v>Expired</v>
      </c>
      <c r="W38" s="3" t="str">
        <f t="shared" si="7"/>
        <v>Recently Expired within 45 Days ago</v>
      </c>
      <c r="X38" s="3" t="s">
        <v>281</v>
      </c>
      <c r="Y38" s="3" t="e">
        <f>VLOOKUP(O38,[5]Working!$F:$Q,12,0)</f>
        <v>#N/A</v>
      </c>
      <c r="Z38" s="2"/>
      <c r="AA38" s="2" t="s">
        <v>116</v>
      </c>
    </row>
    <row r="39" spans="1:28" ht="14.4" x14ac:dyDescent="0.3">
      <c r="A39" s="2">
        <v>32</v>
      </c>
      <c r="B39" s="2" t="s">
        <v>175</v>
      </c>
      <c r="C39" s="2" t="s">
        <v>56</v>
      </c>
      <c r="D39" s="2" t="s">
        <v>24</v>
      </c>
      <c r="E39" s="2" t="s">
        <v>12</v>
      </c>
      <c r="F39" s="2">
        <v>7.5</v>
      </c>
      <c r="G39" s="2">
        <v>2</v>
      </c>
      <c r="H39" s="2">
        <f t="shared" si="8"/>
        <v>15</v>
      </c>
      <c r="I39" s="2"/>
      <c r="J39" s="2">
        <v>0</v>
      </c>
      <c r="K39" s="2">
        <f t="shared" si="3"/>
        <v>0</v>
      </c>
      <c r="L39" s="2">
        <f t="shared" si="4"/>
        <v>0</v>
      </c>
      <c r="M39" s="2">
        <f t="shared" si="5"/>
        <v>15</v>
      </c>
      <c r="N39" s="2" t="s">
        <v>177</v>
      </c>
      <c r="O39" s="18">
        <v>3231343</v>
      </c>
      <c r="P39" s="2" t="s">
        <v>15</v>
      </c>
      <c r="Q39" s="2">
        <v>4</v>
      </c>
      <c r="R39" s="19">
        <v>45146</v>
      </c>
      <c r="S39" s="19">
        <v>45876</v>
      </c>
      <c r="T39" s="19">
        <v>45868</v>
      </c>
      <c r="U39" s="3">
        <f t="shared" si="2"/>
        <v>8</v>
      </c>
      <c r="V39" s="3" t="str">
        <f t="shared" si="6"/>
        <v>Not Expired</v>
      </c>
      <c r="W39" s="3" t="str">
        <f t="shared" si="7"/>
        <v>Will be Expire within 45 Days</v>
      </c>
      <c r="X39" s="3" t="s">
        <v>280</v>
      </c>
      <c r="Y39" s="3" t="str">
        <f>VLOOKUP(O39,[5]Working!$F:$Q,12,0)</f>
        <v>DFIPL Purchase</v>
      </c>
      <c r="Z39" s="2"/>
      <c r="AA39" s="2" t="s">
        <v>116</v>
      </c>
    </row>
    <row r="40" spans="1:28" ht="14.4" x14ac:dyDescent="0.3">
      <c r="A40" s="2">
        <v>180</v>
      </c>
      <c r="B40" s="2" t="s">
        <v>198</v>
      </c>
      <c r="C40" s="2" t="s">
        <v>22</v>
      </c>
      <c r="D40" s="2" t="s">
        <v>11</v>
      </c>
      <c r="E40" s="2" t="s">
        <v>12</v>
      </c>
      <c r="F40" s="2">
        <v>4</v>
      </c>
      <c r="G40" s="2">
        <v>9</v>
      </c>
      <c r="H40" s="2">
        <f t="shared" si="8"/>
        <v>36</v>
      </c>
      <c r="I40" s="2">
        <v>9</v>
      </c>
      <c r="J40" s="2">
        <v>0</v>
      </c>
      <c r="K40" s="2">
        <f t="shared" si="3"/>
        <v>36</v>
      </c>
      <c r="L40" s="2">
        <f t="shared" si="4"/>
        <v>36</v>
      </c>
      <c r="M40" s="2">
        <f t="shared" si="5"/>
        <v>0</v>
      </c>
      <c r="N40" s="2" t="s">
        <v>178</v>
      </c>
      <c r="O40" s="18">
        <v>3249888</v>
      </c>
      <c r="P40" s="2" t="s">
        <v>89</v>
      </c>
      <c r="Q40" s="2">
        <v>2</v>
      </c>
      <c r="R40" s="19">
        <v>45163</v>
      </c>
      <c r="S40" s="19">
        <v>45893</v>
      </c>
      <c r="T40" s="19">
        <v>45868</v>
      </c>
      <c r="U40" s="3">
        <f t="shared" si="2"/>
        <v>25</v>
      </c>
      <c r="V40" s="3" t="str">
        <f t="shared" si="6"/>
        <v>Not Expired</v>
      </c>
      <c r="W40" s="3" t="str">
        <f t="shared" si="7"/>
        <v>Will be Expire within 45 Days</v>
      </c>
      <c r="X40" s="3" t="s">
        <v>280</v>
      </c>
      <c r="Y40" s="3" t="str">
        <f>VLOOKUP(O40,[5]Working!$F:$Q,12,0)</f>
        <v>DFIPL Purchase</v>
      </c>
      <c r="Z40" s="2"/>
      <c r="AA40" s="2" t="s">
        <v>116</v>
      </c>
      <c r="AB40" t="s">
        <v>292</v>
      </c>
    </row>
    <row r="41" spans="1:28" ht="18.600000000000001" customHeight="1" x14ac:dyDescent="0.3">
      <c r="A41" s="2">
        <v>13</v>
      </c>
      <c r="B41" s="2" t="s">
        <v>227</v>
      </c>
      <c r="C41" s="2" t="s">
        <v>23</v>
      </c>
      <c r="D41" s="2" t="s">
        <v>24</v>
      </c>
      <c r="E41" s="2" t="s">
        <v>12</v>
      </c>
      <c r="F41" s="2">
        <v>16.399999999999999</v>
      </c>
      <c r="G41" s="2">
        <f>15-2</f>
        <v>13</v>
      </c>
      <c r="H41" s="2">
        <f t="shared" si="8"/>
        <v>213.2</v>
      </c>
      <c r="I41" s="2"/>
      <c r="J41" s="2">
        <v>0</v>
      </c>
      <c r="K41" s="2">
        <f t="shared" si="3"/>
        <v>0</v>
      </c>
      <c r="L41" s="2">
        <f t="shared" si="4"/>
        <v>0</v>
      </c>
      <c r="M41" s="2">
        <f t="shared" si="5"/>
        <v>213.2</v>
      </c>
      <c r="N41" s="2" t="s">
        <v>177</v>
      </c>
      <c r="O41" s="18">
        <v>74085142</v>
      </c>
      <c r="P41" s="2" t="s">
        <v>15</v>
      </c>
      <c r="Q41" s="2">
        <v>3</v>
      </c>
      <c r="R41" s="19">
        <v>45532</v>
      </c>
      <c r="S41" s="19">
        <v>45897</v>
      </c>
      <c r="T41" s="19">
        <v>45868</v>
      </c>
      <c r="U41" s="3">
        <f t="shared" si="2"/>
        <v>29</v>
      </c>
      <c r="V41" s="3" t="str">
        <f t="shared" si="6"/>
        <v>Not Expired</v>
      </c>
      <c r="W41" s="3" t="str">
        <f t="shared" si="7"/>
        <v>Will be Expire within 45 Days</v>
      </c>
      <c r="X41" s="3" t="s">
        <v>280</v>
      </c>
      <c r="Y41" s="3" t="str">
        <f>VLOOKUP(O41,[5]Working!$F:$Q,12,0)</f>
        <v>DFIPL Purchase</v>
      </c>
      <c r="Z41" s="2"/>
      <c r="AA41" s="2" t="s">
        <v>116</v>
      </c>
      <c r="AB41" t="s">
        <v>143</v>
      </c>
    </row>
    <row r="42" spans="1:28" ht="18.600000000000001" customHeight="1" x14ac:dyDescent="0.3">
      <c r="A42" s="2">
        <v>1</v>
      </c>
      <c r="B42" s="2" t="s">
        <v>228</v>
      </c>
      <c r="C42" s="2" t="s">
        <v>10</v>
      </c>
      <c r="D42" s="2" t="s">
        <v>11</v>
      </c>
      <c r="E42" s="2" t="s">
        <v>12</v>
      </c>
      <c r="F42" s="2">
        <v>3.6</v>
      </c>
      <c r="G42" s="2">
        <f>14-8-2</f>
        <v>4</v>
      </c>
      <c r="H42" s="2">
        <f t="shared" si="8"/>
        <v>14.4</v>
      </c>
      <c r="I42" s="2"/>
      <c r="J42" s="2">
        <v>0</v>
      </c>
      <c r="K42" s="2">
        <f t="shared" si="3"/>
        <v>0</v>
      </c>
      <c r="L42" s="2">
        <f t="shared" si="4"/>
        <v>0</v>
      </c>
      <c r="M42" s="2">
        <f t="shared" si="5"/>
        <v>14.4</v>
      </c>
      <c r="N42" s="2" t="s">
        <v>177</v>
      </c>
      <c r="O42" s="18">
        <v>74055154</v>
      </c>
      <c r="P42" s="2" t="s">
        <v>15</v>
      </c>
      <c r="Q42" s="2">
        <v>3</v>
      </c>
      <c r="R42" s="19">
        <v>45433</v>
      </c>
      <c r="S42" s="19">
        <v>45899</v>
      </c>
      <c r="T42" s="19">
        <v>45868</v>
      </c>
      <c r="U42" s="3">
        <f t="shared" si="2"/>
        <v>31</v>
      </c>
      <c r="V42" s="3" t="str">
        <f t="shared" si="6"/>
        <v>Not Expired</v>
      </c>
      <c r="W42" s="3" t="str">
        <f t="shared" si="7"/>
        <v>Will be Expire within 45 Days</v>
      </c>
      <c r="X42" s="3" t="s">
        <v>280</v>
      </c>
      <c r="Y42" s="3" t="str">
        <f>VLOOKUP(O42,[5]Working!$F:$Q,12,0)</f>
        <v>DFIPL Purchase</v>
      </c>
      <c r="Z42" s="2" t="s">
        <v>107</v>
      </c>
      <c r="AA42" s="2" t="s">
        <v>116</v>
      </c>
      <c r="AB42" t="s">
        <v>143</v>
      </c>
    </row>
    <row r="43" spans="1:28" ht="18.600000000000001" customHeight="1" x14ac:dyDescent="0.3">
      <c r="A43" s="2">
        <v>2</v>
      </c>
      <c r="B43" s="2" t="s">
        <v>229</v>
      </c>
      <c r="C43" s="2" t="s">
        <v>10</v>
      </c>
      <c r="D43" s="2" t="s">
        <v>11</v>
      </c>
      <c r="E43" s="2" t="s">
        <v>12</v>
      </c>
      <c r="F43" s="2">
        <v>3.6</v>
      </c>
      <c r="G43" s="2">
        <v>24</v>
      </c>
      <c r="H43" s="2">
        <f t="shared" si="8"/>
        <v>86.4</v>
      </c>
      <c r="I43" s="2"/>
      <c r="J43" s="2">
        <v>0</v>
      </c>
      <c r="K43" s="2">
        <f t="shared" si="3"/>
        <v>0</v>
      </c>
      <c r="L43" s="2">
        <f t="shared" si="4"/>
        <v>0</v>
      </c>
      <c r="M43" s="2">
        <f t="shared" si="5"/>
        <v>86.4</v>
      </c>
      <c r="N43" s="2" t="s">
        <v>177</v>
      </c>
      <c r="O43" s="18">
        <v>74065098</v>
      </c>
      <c r="P43" s="2" t="s">
        <v>15</v>
      </c>
      <c r="Q43" s="2">
        <v>3</v>
      </c>
      <c r="R43" s="19">
        <v>45456</v>
      </c>
      <c r="S43" s="19">
        <v>45899</v>
      </c>
      <c r="T43" s="19">
        <v>45868</v>
      </c>
      <c r="U43" s="3">
        <f t="shared" si="2"/>
        <v>31</v>
      </c>
      <c r="V43" s="3" t="str">
        <f t="shared" si="6"/>
        <v>Not Expired</v>
      </c>
      <c r="W43" s="3" t="str">
        <f t="shared" si="7"/>
        <v>Will be Expire within 45 Days</v>
      </c>
      <c r="X43" s="3" t="s">
        <v>280</v>
      </c>
      <c r="Y43" s="3" t="str">
        <f>VLOOKUP(O43,[5]Working!$F:$Q,12,0)</f>
        <v>DFIPL Purchase</v>
      </c>
      <c r="Z43" s="2" t="s">
        <v>107</v>
      </c>
      <c r="AA43" s="2" t="s">
        <v>116</v>
      </c>
    </row>
    <row r="44" spans="1:28" ht="14.4" x14ac:dyDescent="0.3">
      <c r="A44" s="2">
        <v>190</v>
      </c>
      <c r="B44" s="2" t="s">
        <v>230</v>
      </c>
      <c r="C44" s="2" t="s">
        <v>20</v>
      </c>
      <c r="D44" s="2" t="s">
        <v>11</v>
      </c>
      <c r="E44" s="2" t="s">
        <v>12</v>
      </c>
      <c r="F44" s="2">
        <v>3.3</v>
      </c>
      <c r="G44" s="2">
        <v>17</v>
      </c>
      <c r="H44" s="2">
        <f t="shared" si="8"/>
        <v>56.099999999999994</v>
      </c>
      <c r="I44" s="2">
        <v>3</v>
      </c>
      <c r="J44" s="2">
        <v>0</v>
      </c>
      <c r="K44" s="2">
        <f t="shared" si="3"/>
        <v>9.8999999999999986</v>
      </c>
      <c r="L44" s="2">
        <f t="shared" si="4"/>
        <v>9.8999999999999986</v>
      </c>
      <c r="M44" s="2">
        <f t="shared" si="5"/>
        <v>46.199999999999996</v>
      </c>
      <c r="N44" s="2" t="s">
        <v>178</v>
      </c>
      <c r="O44" s="18">
        <v>2445230</v>
      </c>
      <c r="P44" s="2" t="s">
        <v>89</v>
      </c>
      <c r="Q44" s="2">
        <v>2</v>
      </c>
      <c r="R44" s="19">
        <v>44265</v>
      </c>
      <c r="S44" s="19">
        <v>45908</v>
      </c>
      <c r="T44" s="19">
        <v>45868</v>
      </c>
      <c r="U44" s="3">
        <f t="shared" si="2"/>
        <v>40</v>
      </c>
      <c r="V44" s="3" t="str">
        <f t="shared" si="6"/>
        <v>Not Expired</v>
      </c>
      <c r="W44" s="3" t="str">
        <f t="shared" si="7"/>
        <v>Will be Expire within 45 Days</v>
      </c>
      <c r="X44" s="3" t="s">
        <v>280</v>
      </c>
      <c r="Y44" s="3" t="str">
        <f>VLOOKUP(O44,[5]Working!$F:$Q,12,0)</f>
        <v>DFIPL Purchase</v>
      </c>
      <c r="Z44" s="2" t="s">
        <v>107</v>
      </c>
      <c r="AA44" s="2" t="s">
        <v>116</v>
      </c>
      <c r="AB44" t="s">
        <v>293</v>
      </c>
    </row>
    <row r="45" spans="1:28" ht="14.4" x14ac:dyDescent="0.3">
      <c r="A45" s="2">
        <v>198</v>
      </c>
      <c r="B45" s="2" t="s">
        <v>186</v>
      </c>
      <c r="C45" s="2" t="s">
        <v>94</v>
      </c>
      <c r="D45" s="2" t="s">
        <v>24</v>
      </c>
      <c r="E45" s="2" t="s">
        <v>12</v>
      </c>
      <c r="F45" s="2">
        <v>16.7</v>
      </c>
      <c r="G45" s="2">
        <v>9</v>
      </c>
      <c r="H45" s="2">
        <f t="shared" si="8"/>
        <v>150.29999999999998</v>
      </c>
      <c r="I45" s="2">
        <v>3</v>
      </c>
      <c r="J45" s="2">
        <v>0</v>
      </c>
      <c r="K45" s="2">
        <f t="shared" si="3"/>
        <v>50.099999999999994</v>
      </c>
      <c r="L45" s="2">
        <f t="shared" si="4"/>
        <v>50.099999999999994</v>
      </c>
      <c r="M45" s="2">
        <f t="shared" si="5"/>
        <v>100.19999999999999</v>
      </c>
      <c r="N45" s="2" t="s">
        <v>177</v>
      </c>
      <c r="O45" s="18">
        <v>2436400</v>
      </c>
      <c r="P45" s="2" t="s">
        <v>89</v>
      </c>
      <c r="Q45" s="2">
        <v>2</v>
      </c>
      <c r="R45" s="19">
        <v>44265</v>
      </c>
      <c r="S45" s="19">
        <v>45908</v>
      </c>
      <c r="T45" s="19">
        <v>45868</v>
      </c>
      <c r="U45" s="3">
        <f t="shared" si="2"/>
        <v>40</v>
      </c>
      <c r="V45" s="3" t="str">
        <f t="shared" si="6"/>
        <v>Not Expired</v>
      </c>
      <c r="W45" s="3" t="str">
        <f t="shared" si="7"/>
        <v>Will be Expire within 45 Days</v>
      </c>
      <c r="X45" s="3" t="s">
        <v>280</v>
      </c>
      <c r="Y45" s="3" t="str">
        <f>VLOOKUP(O45,[5]Working!$F:$Q,12,0)</f>
        <v>DFIPL Purchase</v>
      </c>
      <c r="Z45" s="2" t="s">
        <v>107</v>
      </c>
      <c r="AA45" s="2" t="s">
        <v>116</v>
      </c>
      <c r="AB45" t="s">
        <v>293</v>
      </c>
    </row>
    <row r="46" spans="1:28" ht="14.4" x14ac:dyDescent="0.3">
      <c r="A46" s="2">
        <v>199</v>
      </c>
      <c r="B46" s="2" t="s">
        <v>186</v>
      </c>
      <c r="C46" s="2" t="s">
        <v>94</v>
      </c>
      <c r="D46" s="2" t="s">
        <v>24</v>
      </c>
      <c r="E46" s="2" t="s">
        <v>12</v>
      </c>
      <c r="F46" s="2">
        <v>16.7</v>
      </c>
      <c r="G46" s="2">
        <v>11</v>
      </c>
      <c r="H46" s="2">
        <f t="shared" si="8"/>
        <v>183.7</v>
      </c>
      <c r="I46" s="2"/>
      <c r="J46" s="2">
        <v>0</v>
      </c>
      <c r="K46" s="2">
        <f t="shared" si="3"/>
        <v>0</v>
      </c>
      <c r="L46" s="2">
        <f t="shared" si="4"/>
        <v>0</v>
      </c>
      <c r="M46" s="2">
        <f t="shared" si="5"/>
        <v>183.7</v>
      </c>
      <c r="N46" s="2" t="s">
        <v>177</v>
      </c>
      <c r="O46" s="18">
        <v>2471867</v>
      </c>
      <c r="P46" s="2" t="s">
        <v>89</v>
      </c>
      <c r="Q46" s="2">
        <v>2</v>
      </c>
      <c r="R46" s="19">
        <v>44299</v>
      </c>
      <c r="S46" s="19">
        <v>45941</v>
      </c>
      <c r="T46" s="19">
        <v>45868</v>
      </c>
      <c r="U46" s="3">
        <f t="shared" si="2"/>
        <v>73</v>
      </c>
      <c r="V46" s="3" t="str">
        <f t="shared" si="6"/>
        <v>Not Expired</v>
      </c>
      <c r="W46" s="3" t="str">
        <f t="shared" si="7"/>
        <v>Not Expire</v>
      </c>
      <c r="X46" s="3" t="s">
        <v>280</v>
      </c>
      <c r="Y46" s="3" t="str">
        <f>VLOOKUP(O46,[5]Working!$F:$Q,12,0)</f>
        <v>DFIPL Purchase</v>
      </c>
      <c r="Z46" s="2" t="s">
        <v>107</v>
      </c>
      <c r="AA46" s="2" t="s">
        <v>116</v>
      </c>
    </row>
    <row r="47" spans="1:28" ht="14.4" x14ac:dyDescent="0.3">
      <c r="A47" s="2">
        <v>30</v>
      </c>
      <c r="B47" s="2" t="s">
        <v>175</v>
      </c>
      <c r="C47" s="2" t="s">
        <v>56</v>
      </c>
      <c r="D47" s="2" t="s">
        <v>24</v>
      </c>
      <c r="E47" s="2" t="s">
        <v>12</v>
      </c>
      <c r="F47" s="2">
        <v>7.5</v>
      </c>
      <c r="G47" s="2">
        <v>1</v>
      </c>
      <c r="H47" s="2">
        <f t="shared" si="8"/>
        <v>7.5</v>
      </c>
      <c r="I47" s="2"/>
      <c r="J47" s="2">
        <v>0</v>
      </c>
      <c r="K47" s="2">
        <f t="shared" si="3"/>
        <v>0</v>
      </c>
      <c r="L47" s="2">
        <f t="shared" si="4"/>
        <v>0</v>
      </c>
      <c r="M47" s="2">
        <f t="shared" si="5"/>
        <v>7.5</v>
      </c>
      <c r="N47" s="2" t="s">
        <v>177</v>
      </c>
      <c r="O47" s="18">
        <v>3338629</v>
      </c>
      <c r="P47" s="2" t="s">
        <v>15</v>
      </c>
      <c r="Q47" s="2">
        <v>4</v>
      </c>
      <c r="R47" s="19">
        <v>45251</v>
      </c>
      <c r="S47" s="19">
        <v>45981</v>
      </c>
      <c r="T47" s="19">
        <v>45868</v>
      </c>
      <c r="U47" s="3">
        <f t="shared" si="2"/>
        <v>113</v>
      </c>
      <c r="V47" s="3" t="str">
        <f t="shared" si="6"/>
        <v>Not Expired</v>
      </c>
      <c r="W47" s="3" t="str">
        <f t="shared" si="7"/>
        <v>Not Expire</v>
      </c>
      <c r="X47" s="3" t="s">
        <v>280</v>
      </c>
      <c r="Y47" s="3" t="str">
        <f>VLOOKUP(O47,[5]Working!$F:$Q,12,0)</f>
        <v>DFIPL Purchase</v>
      </c>
      <c r="Z47" s="2"/>
      <c r="AA47" s="2" t="s">
        <v>116</v>
      </c>
    </row>
    <row r="48" spans="1:28" ht="14.4" x14ac:dyDescent="0.3">
      <c r="A48" s="2">
        <v>165</v>
      </c>
      <c r="B48" s="2" t="s">
        <v>183</v>
      </c>
      <c r="C48" s="2" t="s">
        <v>91</v>
      </c>
      <c r="D48" s="2" t="s">
        <v>24</v>
      </c>
      <c r="E48" s="2" t="s">
        <v>12</v>
      </c>
      <c r="F48" s="2">
        <v>16</v>
      </c>
      <c r="G48" s="2">
        <v>13</v>
      </c>
      <c r="H48" s="2">
        <f t="shared" si="8"/>
        <v>208</v>
      </c>
      <c r="I48" s="2"/>
      <c r="J48" s="2">
        <v>0</v>
      </c>
      <c r="K48" s="2">
        <f t="shared" si="3"/>
        <v>0</v>
      </c>
      <c r="L48" s="2">
        <f t="shared" si="4"/>
        <v>0</v>
      </c>
      <c r="M48" s="2">
        <f t="shared" si="5"/>
        <v>208</v>
      </c>
      <c r="N48" s="2" t="s">
        <v>177</v>
      </c>
      <c r="O48" s="18">
        <v>3178851</v>
      </c>
      <c r="P48" s="2" t="s">
        <v>89</v>
      </c>
      <c r="Q48" s="2">
        <v>2</v>
      </c>
      <c r="R48" s="19">
        <v>45091</v>
      </c>
      <c r="S48" s="19">
        <v>46003</v>
      </c>
      <c r="T48" s="19">
        <v>45868</v>
      </c>
      <c r="U48" s="3">
        <f t="shared" si="2"/>
        <v>135</v>
      </c>
      <c r="V48" s="3" t="str">
        <f t="shared" si="6"/>
        <v>Not Expired</v>
      </c>
      <c r="W48" s="3" t="str">
        <f t="shared" si="7"/>
        <v>Not Expire</v>
      </c>
      <c r="X48" s="3" t="s">
        <v>280</v>
      </c>
      <c r="Y48" s="3" t="str">
        <f>VLOOKUP(O48,[5]Working!$F:$Q,12,0)</f>
        <v>DFIPL Purchase</v>
      </c>
      <c r="Z48" s="2" t="s">
        <v>107</v>
      </c>
      <c r="AA48" s="2" t="s">
        <v>116</v>
      </c>
      <c r="AB48" t="s">
        <v>157</v>
      </c>
    </row>
    <row r="49" spans="1:28" ht="14.4" x14ac:dyDescent="0.3">
      <c r="A49" s="2">
        <v>208</v>
      </c>
      <c r="B49" s="2" t="s">
        <v>183</v>
      </c>
      <c r="C49" s="2" t="s">
        <v>99</v>
      </c>
      <c r="D49" s="2" t="s">
        <v>11</v>
      </c>
      <c r="E49" s="2" t="s">
        <v>12</v>
      </c>
      <c r="F49" s="2">
        <v>4</v>
      </c>
      <c r="G49" s="2">
        <v>15</v>
      </c>
      <c r="H49" s="2">
        <f>F49*G49</f>
        <v>60</v>
      </c>
      <c r="I49" s="2">
        <v>3</v>
      </c>
      <c r="J49" s="2">
        <v>0</v>
      </c>
      <c r="K49" s="2">
        <f t="shared" si="3"/>
        <v>12</v>
      </c>
      <c r="L49" s="2">
        <f t="shared" si="4"/>
        <v>12</v>
      </c>
      <c r="M49" s="2">
        <f t="shared" si="5"/>
        <v>48</v>
      </c>
      <c r="N49" s="2" t="s">
        <v>177</v>
      </c>
      <c r="O49" s="18">
        <v>3178665</v>
      </c>
      <c r="P49" s="2" t="s">
        <v>89</v>
      </c>
      <c r="Q49" s="2">
        <v>2</v>
      </c>
      <c r="R49" s="19">
        <v>45091</v>
      </c>
      <c r="S49" s="19">
        <v>46003</v>
      </c>
      <c r="T49" s="19">
        <v>45868</v>
      </c>
      <c r="U49" s="3">
        <f t="shared" si="2"/>
        <v>135</v>
      </c>
      <c r="V49" s="3" t="str">
        <f t="shared" si="6"/>
        <v>Not Expired</v>
      </c>
      <c r="W49" s="3" t="str">
        <f t="shared" si="7"/>
        <v>Not Expire</v>
      </c>
      <c r="X49" s="3" t="s">
        <v>280</v>
      </c>
      <c r="Y49" s="3" t="str">
        <f>VLOOKUP(O49,[5]Working!$F:$Q,12,0)</f>
        <v>DFIPL Purchase</v>
      </c>
      <c r="Z49" s="2" t="s">
        <v>107</v>
      </c>
      <c r="AA49" s="2" t="s">
        <v>116</v>
      </c>
      <c r="AB49" t="s">
        <v>293</v>
      </c>
    </row>
    <row r="50" spans="1:28" ht="14.4" x14ac:dyDescent="0.3">
      <c r="A50" s="2">
        <v>211</v>
      </c>
      <c r="B50" s="2" t="s">
        <v>183</v>
      </c>
      <c r="C50" s="2" t="s">
        <v>99</v>
      </c>
      <c r="D50" s="2" t="s">
        <v>11</v>
      </c>
      <c r="E50" s="2" t="s">
        <v>12</v>
      </c>
      <c r="F50" s="2">
        <v>4</v>
      </c>
      <c r="G50" s="2">
        <v>1</v>
      </c>
      <c r="H50" s="2">
        <f t="shared" si="8"/>
        <v>4</v>
      </c>
      <c r="I50" s="2"/>
      <c r="J50" s="2">
        <v>0</v>
      </c>
      <c r="K50" s="2">
        <f t="shared" si="3"/>
        <v>0</v>
      </c>
      <c r="L50" s="2">
        <f t="shared" si="4"/>
        <v>0</v>
      </c>
      <c r="M50" s="2">
        <f t="shared" si="5"/>
        <v>4</v>
      </c>
      <c r="N50" s="2" t="s">
        <v>177</v>
      </c>
      <c r="O50" s="18">
        <v>3178665</v>
      </c>
      <c r="P50" s="2" t="s">
        <v>89</v>
      </c>
      <c r="Q50" s="2">
        <v>2</v>
      </c>
      <c r="R50" s="19">
        <v>45091</v>
      </c>
      <c r="S50" s="19">
        <v>46003</v>
      </c>
      <c r="T50" s="19">
        <v>45868</v>
      </c>
      <c r="U50" s="3">
        <f t="shared" si="2"/>
        <v>135</v>
      </c>
      <c r="V50" s="3" t="str">
        <f t="shared" si="6"/>
        <v>Not Expired</v>
      </c>
      <c r="W50" s="3" t="str">
        <f t="shared" si="7"/>
        <v>Not Expire</v>
      </c>
      <c r="X50" s="3" t="s">
        <v>280</v>
      </c>
      <c r="Y50" s="3" t="str">
        <f>VLOOKUP(O50,[5]Working!$F:$Q,12,0)</f>
        <v>DFIPL Purchase</v>
      </c>
      <c r="Z50" s="2" t="s">
        <v>107</v>
      </c>
      <c r="AA50" s="2" t="s">
        <v>116</v>
      </c>
    </row>
    <row r="51" spans="1:28" ht="14.4" hidden="1" x14ac:dyDescent="0.3">
      <c r="A51" s="26">
        <v>90</v>
      </c>
      <c r="B51" s="2" t="s">
        <v>231</v>
      </c>
      <c r="C51" s="12" t="s">
        <v>70</v>
      </c>
      <c r="D51" s="12" t="s">
        <v>24</v>
      </c>
      <c r="E51" s="26" t="s">
        <v>12</v>
      </c>
      <c r="F51" s="27">
        <v>8.5</v>
      </c>
      <c r="G51" s="27">
        <v>49</v>
      </c>
      <c r="H51" s="26">
        <f t="shared" si="8"/>
        <v>416.5</v>
      </c>
      <c r="I51" s="27">
        <v>3</v>
      </c>
      <c r="J51" s="27">
        <v>0</v>
      </c>
      <c r="K51" s="2">
        <f t="shared" si="3"/>
        <v>25.5</v>
      </c>
      <c r="L51" s="2">
        <f t="shared" si="4"/>
        <v>25.5</v>
      </c>
      <c r="M51" s="2">
        <f t="shared" si="5"/>
        <v>391</v>
      </c>
      <c r="N51" s="26" t="s">
        <v>177</v>
      </c>
      <c r="O51" s="18">
        <v>605010596</v>
      </c>
      <c r="P51" s="12" t="s">
        <v>59</v>
      </c>
      <c r="Q51" s="27">
        <v>1</v>
      </c>
      <c r="R51" s="28">
        <v>45681</v>
      </c>
      <c r="S51" s="28">
        <v>46046</v>
      </c>
      <c r="T51" s="19">
        <v>45868</v>
      </c>
      <c r="U51" s="29">
        <f t="shared" si="2"/>
        <v>178</v>
      </c>
      <c r="V51" s="30" t="str">
        <f t="shared" si="6"/>
        <v>Not Expired</v>
      </c>
      <c r="W51" s="30" t="str">
        <f t="shared" si="7"/>
        <v>Not Expire</v>
      </c>
      <c r="X51" s="3" t="s">
        <v>281</v>
      </c>
      <c r="Y51" s="3" t="e">
        <f>VLOOKUP(O51,[5]Working!$F:$Q,12,0)</f>
        <v>#N/A</v>
      </c>
      <c r="Z51" s="2"/>
      <c r="AA51" s="2" t="s">
        <v>116</v>
      </c>
      <c r="AB51" s="31" t="s">
        <v>297</v>
      </c>
    </row>
    <row r="52" spans="1:28" ht="14.4" x14ac:dyDescent="0.3">
      <c r="A52" s="2">
        <v>206</v>
      </c>
      <c r="B52" s="2" t="s">
        <v>232</v>
      </c>
      <c r="C52" s="2" t="s">
        <v>97</v>
      </c>
      <c r="D52" s="2" t="s">
        <v>24</v>
      </c>
      <c r="E52" s="2" t="s">
        <v>12</v>
      </c>
      <c r="F52" s="2">
        <v>18.2</v>
      </c>
      <c r="G52" s="2">
        <v>6</v>
      </c>
      <c r="H52" s="2">
        <f t="shared" si="8"/>
        <v>109.19999999999999</v>
      </c>
      <c r="I52" s="2"/>
      <c r="J52" s="2">
        <v>0</v>
      </c>
      <c r="K52" s="2">
        <f t="shared" si="3"/>
        <v>0</v>
      </c>
      <c r="L52" s="2">
        <f t="shared" si="4"/>
        <v>0</v>
      </c>
      <c r="M52" s="2">
        <f t="shared" si="5"/>
        <v>109.19999999999999</v>
      </c>
      <c r="N52" s="2" t="s">
        <v>177</v>
      </c>
      <c r="O52" s="18">
        <v>2721654</v>
      </c>
      <c r="P52" s="2" t="s">
        <v>89</v>
      </c>
      <c r="Q52" s="2">
        <v>2</v>
      </c>
      <c r="R52" s="19">
        <v>44589</v>
      </c>
      <c r="S52" s="19">
        <v>46049</v>
      </c>
      <c r="T52" s="19">
        <v>45868</v>
      </c>
      <c r="U52" s="3">
        <f t="shared" si="2"/>
        <v>181</v>
      </c>
      <c r="V52" s="3" t="str">
        <f t="shared" si="6"/>
        <v>Not Expired</v>
      </c>
      <c r="W52" s="3" t="str">
        <f t="shared" si="7"/>
        <v>Not Expire</v>
      </c>
      <c r="X52" s="3" t="s">
        <v>280</v>
      </c>
      <c r="Y52" s="3" t="str">
        <f>VLOOKUP(O52,[5]Working!$F:$Q,12,0)</f>
        <v>DFIPL Purchase</v>
      </c>
      <c r="Z52" s="2"/>
      <c r="AA52" s="2" t="s">
        <v>116</v>
      </c>
    </row>
    <row r="53" spans="1:28" ht="14.4" x14ac:dyDescent="0.3">
      <c r="A53" s="2">
        <v>31</v>
      </c>
      <c r="B53" s="2" t="s">
        <v>175</v>
      </c>
      <c r="C53" s="2" t="s">
        <v>56</v>
      </c>
      <c r="D53" s="2" t="s">
        <v>24</v>
      </c>
      <c r="E53" s="2" t="s">
        <v>12</v>
      </c>
      <c r="F53" s="2">
        <v>7.5</v>
      </c>
      <c r="G53" s="2">
        <v>1</v>
      </c>
      <c r="H53" s="2">
        <f t="shared" si="8"/>
        <v>7.5</v>
      </c>
      <c r="I53" s="2"/>
      <c r="J53" s="2">
        <v>0</v>
      </c>
      <c r="K53" s="2">
        <f t="shared" si="3"/>
        <v>0</v>
      </c>
      <c r="L53" s="2">
        <f t="shared" si="4"/>
        <v>0</v>
      </c>
      <c r="M53" s="2">
        <f t="shared" si="5"/>
        <v>7.5</v>
      </c>
      <c r="N53" s="2" t="s">
        <v>177</v>
      </c>
      <c r="O53" s="18">
        <v>3413309</v>
      </c>
      <c r="P53" s="2" t="s">
        <v>15</v>
      </c>
      <c r="Q53" s="2">
        <v>4</v>
      </c>
      <c r="R53" s="19">
        <v>45323</v>
      </c>
      <c r="S53" s="19">
        <v>46053</v>
      </c>
      <c r="T53" s="19">
        <v>45868</v>
      </c>
      <c r="U53" s="3">
        <f t="shared" si="2"/>
        <v>185</v>
      </c>
      <c r="V53" s="3" t="str">
        <f t="shared" si="6"/>
        <v>Not Expired</v>
      </c>
      <c r="W53" s="3" t="str">
        <f t="shared" si="7"/>
        <v>Not Expire</v>
      </c>
      <c r="X53" s="3" t="s">
        <v>280</v>
      </c>
      <c r="Y53" s="3" t="str">
        <f>VLOOKUP(O53,[5]Working!$F:$Q,12,0)</f>
        <v>DFIPL Purchase</v>
      </c>
      <c r="Z53" s="2"/>
      <c r="AA53" s="2" t="s">
        <v>116</v>
      </c>
    </row>
    <row r="54" spans="1:28" ht="14.4" x14ac:dyDescent="0.3">
      <c r="A54" s="2">
        <v>43</v>
      </c>
      <c r="B54" s="2" t="s">
        <v>188</v>
      </c>
      <c r="C54" s="2" t="s">
        <v>57</v>
      </c>
      <c r="D54" s="2" t="s">
        <v>11</v>
      </c>
      <c r="E54" s="2" t="s">
        <v>12</v>
      </c>
      <c r="F54" s="2">
        <v>1.25</v>
      </c>
      <c r="G54" s="2">
        <v>6</v>
      </c>
      <c r="H54" s="2">
        <f t="shared" si="8"/>
        <v>7.5</v>
      </c>
      <c r="I54" s="2">
        <v>1</v>
      </c>
      <c r="J54" s="2">
        <v>1.25</v>
      </c>
      <c r="K54" s="2">
        <f t="shared" si="3"/>
        <v>1.25</v>
      </c>
      <c r="L54" s="2">
        <f t="shared" si="4"/>
        <v>0</v>
      </c>
      <c r="M54" s="2">
        <f t="shared" si="5"/>
        <v>6.25</v>
      </c>
      <c r="N54" s="2" t="s">
        <v>177</v>
      </c>
      <c r="O54" s="18">
        <v>3413173</v>
      </c>
      <c r="P54" s="2" t="s">
        <v>15</v>
      </c>
      <c r="Q54" s="2">
        <v>4</v>
      </c>
      <c r="R54" s="19">
        <v>45323</v>
      </c>
      <c r="S54" s="19">
        <v>46053</v>
      </c>
      <c r="T54" s="19">
        <v>45868</v>
      </c>
      <c r="U54" s="3">
        <f t="shared" si="2"/>
        <v>185</v>
      </c>
      <c r="V54" s="3" t="str">
        <f t="shared" si="6"/>
        <v>Not Expired</v>
      </c>
      <c r="W54" s="3" t="str">
        <f t="shared" si="7"/>
        <v>Not Expire</v>
      </c>
      <c r="X54" s="3" t="s">
        <v>280</v>
      </c>
      <c r="Y54" s="3" t="str">
        <f>VLOOKUP(O54,[5]Working!$F:$Q,12,0)</f>
        <v>DFIPL Purchase</v>
      </c>
      <c r="Z54" s="2"/>
      <c r="AA54" s="2" t="s">
        <v>116</v>
      </c>
      <c r="AB54" t="s">
        <v>169</v>
      </c>
    </row>
    <row r="55" spans="1:28" ht="18.600000000000001" customHeight="1" x14ac:dyDescent="0.3">
      <c r="A55" s="2">
        <v>46</v>
      </c>
      <c r="B55" s="2" t="s">
        <v>233</v>
      </c>
      <c r="C55" s="2" t="s">
        <v>41</v>
      </c>
      <c r="D55" s="2" t="s">
        <v>24</v>
      </c>
      <c r="E55" s="2" t="s">
        <v>12</v>
      </c>
      <c r="F55" s="2">
        <v>16.399999999999999</v>
      </c>
      <c r="G55" s="2">
        <f>23-8</f>
        <v>15</v>
      </c>
      <c r="H55" s="2">
        <f t="shared" si="8"/>
        <v>245.99999999999997</v>
      </c>
      <c r="I55" s="2"/>
      <c r="J55" s="2">
        <v>0</v>
      </c>
      <c r="K55" s="2">
        <f t="shared" si="3"/>
        <v>0</v>
      </c>
      <c r="L55" s="2">
        <f t="shared" si="4"/>
        <v>0</v>
      </c>
      <c r="M55" s="2">
        <f t="shared" si="5"/>
        <v>245.99999999999997</v>
      </c>
      <c r="N55" s="2" t="s">
        <v>177</v>
      </c>
      <c r="O55" s="18">
        <v>74095323</v>
      </c>
      <c r="P55" s="2" t="s">
        <v>15</v>
      </c>
      <c r="Q55" s="2">
        <v>3</v>
      </c>
      <c r="R55" s="19">
        <v>45580</v>
      </c>
      <c r="S55" s="19">
        <v>46068</v>
      </c>
      <c r="T55" s="19">
        <v>45868</v>
      </c>
      <c r="U55" s="3">
        <f t="shared" si="2"/>
        <v>200</v>
      </c>
      <c r="V55" s="3" t="str">
        <f t="shared" si="6"/>
        <v>Not Expired</v>
      </c>
      <c r="W55" s="3" t="str">
        <f t="shared" si="7"/>
        <v>Not Expire</v>
      </c>
      <c r="X55" s="3" t="s">
        <v>280</v>
      </c>
      <c r="Y55" s="3" t="str">
        <f>VLOOKUP(O55,[5]Working!$F:$Q,12,0)</f>
        <v>DFIPL Purchase</v>
      </c>
      <c r="Z55" s="2"/>
      <c r="AA55" s="2" t="s">
        <v>116</v>
      </c>
      <c r="AB55" t="s">
        <v>143</v>
      </c>
    </row>
    <row r="56" spans="1:28" ht="18.600000000000001" hidden="1" customHeight="1" x14ac:dyDescent="0.3">
      <c r="A56" s="2">
        <v>75</v>
      </c>
      <c r="B56" s="2" t="s">
        <v>234</v>
      </c>
      <c r="C56" s="2" t="s">
        <v>65</v>
      </c>
      <c r="D56" s="2" t="s">
        <v>11</v>
      </c>
      <c r="E56" s="2" t="s">
        <v>12</v>
      </c>
      <c r="F56" s="2">
        <v>4</v>
      </c>
      <c r="G56" s="2">
        <v>3</v>
      </c>
      <c r="H56" s="2">
        <f t="shared" si="8"/>
        <v>12</v>
      </c>
      <c r="I56" s="27"/>
      <c r="J56" s="27">
        <v>0</v>
      </c>
      <c r="K56" s="2">
        <f t="shared" si="3"/>
        <v>0</v>
      </c>
      <c r="L56" s="2">
        <f t="shared" si="4"/>
        <v>0</v>
      </c>
      <c r="M56" s="2">
        <f t="shared" si="5"/>
        <v>12</v>
      </c>
      <c r="N56" s="2" t="s">
        <v>177</v>
      </c>
      <c r="O56" s="18">
        <v>74115081</v>
      </c>
      <c r="P56" s="2" t="s">
        <v>59</v>
      </c>
      <c r="Q56" s="2">
        <v>1</v>
      </c>
      <c r="R56" s="19">
        <v>45604</v>
      </c>
      <c r="S56" s="19">
        <v>46089</v>
      </c>
      <c r="T56" s="19">
        <v>45868</v>
      </c>
      <c r="U56" s="3">
        <f t="shared" si="2"/>
        <v>221</v>
      </c>
      <c r="V56" s="3" t="str">
        <f t="shared" si="6"/>
        <v>Not Expired</v>
      </c>
      <c r="W56" s="3" t="str">
        <f t="shared" si="7"/>
        <v>Not Expire</v>
      </c>
      <c r="X56" s="3" t="s">
        <v>281</v>
      </c>
      <c r="Y56" s="3" t="e">
        <f>VLOOKUP(O56,[5]Working!$F:$Q,12,0)</f>
        <v>#N/A</v>
      </c>
      <c r="Z56" s="2"/>
      <c r="AA56" s="2" t="s">
        <v>116</v>
      </c>
    </row>
    <row r="57" spans="1:28" ht="18.600000000000001" hidden="1" customHeight="1" x14ac:dyDescent="0.3">
      <c r="A57" s="2">
        <v>80</v>
      </c>
      <c r="B57" s="2" t="s">
        <v>234</v>
      </c>
      <c r="C57" s="2" t="s">
        <v>65</v>
      </c>
      <c r="D57" s="2" t="s">
        <v>11</v>
      </c>
      <c r="E57" s="2" t="s">
        <v>12</v>
      </c>
      <c r="F57" s="2">
        <v>4</v>
      </c>
      <c r="G57" s="2">
        <v>61</v>
      </c>
      <c r="H57" s="2">
        <f t="shared" si="8"/>
        <v>244</v>
      </c>
      <c r="I57" s="27"/>
      <c r="J57" s="27">
        <v>0</v>
      </c>
      <c r="K57" s="2">
        <f t="shared" si="3"/>
        <v>0</v>
      </c>
      <c r="L57" s="2">
        <f t="shared" si="4"/>
        <v>0</v>
      </c>
      <c r="M57" s="2">
        <f t="shared" si="5"/>
        <v>244</v>
      </c>
      <c r="N57" s="2" t="s">
        <v>177</v>
      </c>
      <c r="O57" s="18">
        <v>74115099</v>
      </c>
      <c r="P57" s="2" t="s">
        <v>59</v>
      </c>
      <c r="Q57" s="2">
        <v>1</v>
      </c>
      <c r="R57" s="19">
        <v>45614</v>
      </c>
      <c r="S57" s="19">
        <v>46099</v>
      </c>
      <c r="T57" s="19">
        <v>45868</v>
      </c>
      <c r="U57" s="3">
        <f t="shared" si="2"/>
        <v>231</v>
      </c>
      <c r="V57" s="3" t="str">
        <f t="shared" si="6"/>
        <v>Not Expired</v>
      </c>
      <c r="W57" s="3" t="str">
        <f t="shared" si="7"/>
        <v>Not Expire</v>
      </c>
      <c r="X57" s="3" t="s">
        <v>281</v>
      </c>
      <c r="Y57" s="3" t="e">
        <f>VLOOKUP(O57,[5]Working!$F:$Q,12,0)</f>
        <v>#N/A</v>
      </c>
      <c r="Z57" s="2"/>
      <c r="AA57" s="2" t="s">
        <v>116</v>
      </c>
      <c r="AB57" s="31" t="s">
        <v>161</v>
      </c>
    </row>
    <row r="58" spans="1:28" ht="18.600000000000001" hidden="1" customHeight="1" x14ac:dyDescent="0.3">
      <c r="A58" s="2">
        <v>70</v>
      </c>
      <c r="B58" s="2" t="s">
        <v>217</v>
      </c>
      <c r="C58" s="2" t="s">
        <v>61</v>
      </c>
      <c r="D58" s="2" t="s">
        <v>24</v>
      </c>
      <c r="E58" s="2" t="s">
        <v>12</v>
      </c>
      <c r="F58" s="2">
        <v>16</v>
      </c>
      <c r="G58" s="2">
        <v>3</v>
      </c>
      <c r="H58" s="2">
        <f t="shared" si="8"/>
        <v>48</v>
      </c>
      <c r="I58" s="27">
        <v>3</v>
      </c>
      <c r="J58" s="27">
        <v>0</v>
      </c>
      <c r="K58" s="2">
        <f t="shared" si="3"/>
        <v>48</v>
      </c>
      <c r="L58" s="2">
        <f t="shared" si="4"/>
        <v>48</v>
      </c>
      <c r="M58" s="2">
        <f t="shared" si="5"/>
        <v>0</v>
      </c>
      <c r="N58" s="2" t="s">
        <v>177</v>
      </c>
      <c r="O58" s="18">
        <v>74105030</v>
      </c>
      <c r="P58" s="2" t="s">
        <v>59</v>
      </c>
      <c r="Q58" s="2">
        <v>1</v>
      </c>
      <c r="R58" s="19">
        <v>45618</v>
      </c>
      <c r="S58" s="19">
        <v>46103</v>
      </c>
      <c r="T58" s="19">
        <v>45868</v>
      </c>
      <c r="U58" s="3">
        <f t="shared" si="2"/>
        <v>235</v>
      </c>
      <c r="V58" s="3" t="str">
        <f t="shared" si="6"/>
        <v>Not Expired</v>
      </c>
      <c r="W58" s="3" t="str">
        <f t="shared" si="7"/>
        <v>Not Expire</v>
      </c>
      <c r="X58" s="3" t="s">
        <v>281</v>
      </c>
      <c r="Y58" s="3" t="e">
        <f>VLOOKUP(O58,[5]Working!$F:$Q,12,0)</f>
        <v>#N/A</v>
      </c>
      <c r="Z58" s="2"/>
      <c r="AA58" s="2" t="s">
        <v>116</v>
      </c>
      <c r="AB58" t="s">
        <v>298</v>
      </c>
    </row>
    <row r="59" spans="1:28" ht="18.600000000000001" hidden="1" customHeight="1" x14ac:dyDescent="0.3">
      <c r="A59" s="2">
        <v>91</v>
      </c>
      <c r="B59" s="2" t="s">
        <v>217</v>
      </c>
      <c r="C59" s="2" t="s">
        <v>61</v>
      </c>
      <c r="D59" s="2" t="s">
        <v>24</v>
      </c>
      <c r="E59" s="2" t="s">
        <v>12</v>
      </c>
      <c r="F59" s="2">
        <v>16</v>
      </c>
      <c r="G59" s="2">
        <v>64</v>
      </c>
      <c r="H59" s="2">
        <f t="shared" si="8"/>
        <v>1024</v>
      </c>
      <c r="I59" s="27">
        <v>4</v>
      </c>
      <c r="J59" s="27">
        <v>0</v>
      </c>
      <c r="K59" s="2">
        <f t="shared" si="3"/>
        <v>64</v>
      </c>
      <c r="L59" s="2">
        <f t="shared" si="4"/>
        <v>64</v>
      </c>
      <c r="M59" s="2">
        <f t="shared" si="5"/>
        <v>960</v>
      </c>
      <c r="N59" s="2" t="s">
        <v>177</v>
      </c>
      <c r="O59" s="18">
        <v>74105294</v>
      </c>
      <c r="P59" s="2" t="s">
        <v>59</v>
      </c>
      <c r="Q59" s="2">
        <v>1</v>
      </c>
      <c r="R59" s="19">
        <v>45621</v>
      </c>
      <c r="S59" s="19">
        <v>46106</v>
      </c>
      <c r="T59" s="19">
        <v>45868</v>
      </c>
      <c r="U59" s="3">
        <f t="shared" si="2"/>
        <v>238</v>
      </c>
      <c r="V59" s="3" t="str">
        <f t="shared" si="6"/>
        <v>Not Expired</v>
      </c>
      <c r="W59" s="3" t="str">
        <f t="shared" si="7"/>
        <v>Not Expire</v>
      </c>
      <c r="X59" s="3" t="s">
        <v>281</v>
      </c>
      <c r="Y59" s="3" t="e">
        <f>VLOOKUP(O59,[5]Working!$F:$Q,12,0)</f>
        <v>#N/A</v>
      </c>
      <c r="Z59" s="2"/>
      <c r="AA59" s="2" t="s">
        <v>116</v>
      </c>
      <c r="AB59" s="31" t="s">
        <v>297</v>
      </c>
    </row>
    <row r="60" spans="1:28" ht="18.600000000000001" hidden="1" customHeight="1" x14ac:dyDescent="0.3">
      <c r="A60" s="2">
        <v>71</v>
      </c>
      <c r="B60" s="2" t="s">
        <v>216</v>
      </c>
      <c r="C60" s="2" t="s">
        <v>62</v>
      </c>
      <c r="D60" s="2" t="s">
        <v>24</v>
      </c>
      <c r="E60" s="2" t="s">
        <v>12</v>
      </c>
      <c r="F60" s="2">
        <v>9</v>
      </c>
      <c r="G60" s="2">
        <v>39</v>
      </c>
      <c r="H60" s="2">
        <f t="shared" si="8"/>
        <v>351</v>
      </c>
      <c r="I60" s="2"/>
      <c r="J60" s="2">
        <v>0</v>
      </c>
      <c r="K60" s="2">
        <f t="shared" si="3"/>
        <v>0</v>
      </c>
      <c r="L60" s="2">
        <f t="shared" si="4"/>
        <v>0</v>
      </c>
      <c r="M60" s="2">
        <f t="shared" si="5"/>
        <v>351</v>
      </c>
      <c r="N60" s="2" t="s">
        <v>177</v>
      </c>
      <c r="O60" s="18">
        <v>3882754</v>
      </c>
      <c r="P60" s="2" t="s">
        <v>18</v>
      </c>
      <c r="Q60" s="2">
        <v>4</v>
      </c>
      <c r="R60" s="19">
        <v>45757</v>
      </c>
      <c r="S60" s="19">
        <v>46122</v>
      </c>
      <c r="T60" s="19">
        <v>45868</v>
      </c>
      <c r="U60" s="3">
        <f t="shared" si="2"/>
        <v>254</v>
      </c>
      <c r="V60" s="3" t="str">
        <f t="shared" si="6"/>
        <v>Not Expired</v>
      </c>
      <c r="W60" s="3" t="str">
        <f t="shared" si="7"/>
        <v>Not Expire</v>
      </c>
      <c r="X60" s="3" t="s">
        <v>281</v>
      </c>
      <c r="Y60" s="3" t="e">
        <f>VLOOKUP(O60,[5]Working!$F:$Q,12,0)</f>
        <v>#N/A</v>
      </c>
      <c r="Z60" s="2" t="s">
        <v>110</v>
      </c>
      <c r="AA60" s="2" t="s">
        <v>118</v>
      </c>
    </row>
    <row r="61" spans="1:28" ht="18.600000000000001" customHeight="1" x14ac:dyDescent="0.3">
      <c r="A61" s="2">
        <v>184</v>
      </c>
      <c r="B61" s="2" t="s">
        <v>235</v>
      </c>
      <c r="C61" s="2" t="s">
        <v>76</v>
      </c>
      <c r="D61" s="2" t="s">
        <v>11</v>
      </c>
      <c r="E61" s="2" t="s">
        <v>12</v>
      </c>
      <c r="F61" s="2">
        <v>1.8</v>
      </c>
      <c r="G61" s="2">
        <v>2</v>
      </c>
      <c r="H61" s="2">
        <f t="shared" si="8"/>
        <v>3.6</v>
      </c>
      <c r="I61" s="2"/>
      <c r="J61" s="2">
        <v>0</v>
      </c>
      <c r="K61" s="2">
        <f t="shared" si="3"/>
        <v>0</v>
      </c>
      <c r="L61" s="2">
        <f t="shared" si="4"/>
        <v>0</v>
      </c>
      <c r="M61" s="2">
        <f t="shared" si="5"/>
        <v>3.6</v>
      </c>
      <c r="N61" s="2" t="s">
        <v>177</v>
      </c>
      <c r="O61" s="18">
        <v>2829592</v>
      </c>
      <c r="P61" s="2" t="s">
        <v>89</v>
      </c>
      <c r="Q61" s="2">
        <v>2</v>
      </c>
      <c r="R61" s="19">
        <v>44713</v>
      </c>
      <c r="S61" s="19">
        <v>46173</v>
      </c>
      <c r="T61" s="19">
        <v>45868</v>
      </c>
      <c r="U61" s="3">
        <f t="shared" si="2"/>
        <v>305</v>
      </c>
      <c r="V61" s="3" t="str">
        <f t="shared" si="6"/>
        <v>Not Expired</v>
      </c>
      <c r="W61" s="3" t="str">
        <f t="shared" si="7"/>
        <v>Not Expire</v>
      </c>
      <c r="X61" s="3" t="s">
        <v>280</v>
      </c>
      <c r="Y61" s="3" t="str">
        <f>VLOOKUP(O61,[5]Working!$F:$Q,12,0)</f>
        <v>DFIPL Purchase</v>
      </c>
      <c r="Z61" s="2"/>
      <c r="AA61" s="2" t="s">
        <v>116</v>
      </c>
    </row>
    <row r="62" spans="1:28" ht="18.600000000000001" customHeight="1" x14ac:dyDescent="0.3">
      <c r="A62" s="2">
        <v>196</v>
      </c>
      <c r="B62" s="2" t="s">
        <v>232</v>
      </c>
      <c r="C62" s="2" t="s">
        <v>94</v>
      </c>
      <c r="D62" s="2" t="s">
        <v>24</v>
      </c>
      <c r="E62" s="2" t="s">
        <v>12</v>
      </c>
      <c r="F62" s="2">
        <v>18.2</v>
      </c>
      <c r="G62" s="2">
        <v>3</v>
      </c>
      <c r="H62" s="2">
        <f t="shared" si="8"/>
        <v>54.599999999999994</v>
      </c>
      <c r="I62" s="2"/>
      <c r="J62" s="2">
        <v>0</v>
      </c>
      <c r="K62" s="2">
        <f t="shared" si="3"/>
        <v>0</v>
      </c>
      <c r="L62" s="2">
        <f t="shared" si="4"/>
        <v>0</v>
      </c>
      <c r="M62" s="2">
        <f t="shared" si="5"/>
        <v>54.599999999999994</v>
      </c>
      <c r="N62" s="2" t="s">
        <v>177</v>
      </c>
      <c r="O62" s="18">
        <v>2829609</v>
      </c>
      <c r="P62" s="2" t="s">
        <v>89</v>
      </c>
      <c r="Q62" s="2">
        <v>2</v>
      </c>
      <c r="R62" s="19">
        <v>44713</v>
      </c>
      <c r="S62" s="19">
        <v>46173</v>
      </c>
      <c r="T62" s="19">
        <v>45868</v>
      </c>
      <c r="U62" s="3">
        <f t="shared" si="2"/>
        <v>305</v>
      </c>
      <c r="V62" s="3" t="str">
        <f t="shared" si="6"/>
        <v>Not Expired</v>
      </c>
      <c r="W62" s="3" t="str">
        <f t="shared" si="7"/>
        <v>Not Expire</v>
      </c>
      <c r="X62" s="3" t="s">
        <v>280</v>
      </c>
      <c r="Y62" s="3" t="str">
        <f>VLOOKUP(O62,[5]Working!$F:$Q,12,0)</f>
        <v>DFIPL Purchase</v>
      </c>
      <c r="Z62" s="2" t="s">
        <v>95</v>
      </c>
      <c r="AA62" s="2" t="s">
        <v>119</v>
      </c>
    </row>
    <row r="63" spans="1:28" ht="18.600000000000001" customHeight="1" x14ac:dyDescent="0.3">
      <c r="A63" s="2">
        <v>195</v>
      </c>
      <c r="B63" s="2" t="s">
        <v>232</v>
      </c>
      <c r="C63" s="2" t="s">
        <v>94</v>
      </c>
      <c r="D63" s="2" t="s">
        <v>24</v>
      </c>
      <c r="E63" s="2" t="s">
        <v>12</v>
      </c>
      <c r="F63" s="13">
        <v>18.2</v>
      </c>
      <c r="G63" s="2">
        <v>25</v>
      </c>
      <c r="H63" s="2">
        <f t="shared" si="8"/>
        <v>455</v>
      </c>
      <c r="I63" s="2"/>
      <c r="J63" s="2">
        <v>0</v>
      </c>
      <c r="K63" s="2">
        <f t="shared" si="3"/>
        <v>0</v>
      </c>
      <c r="L63" s="2">
        <f t="shared" si="4"/>
        <v>0</v>
      </c>
      <c r="M63" s="2">
        <f t="shared" si="5"/>
        <v>455</v>
      </c>
      <c r="N63" s="2" t="s">
        <v>177</v>
      </c>
      <c r="O63" s="18">
        <v>2845867</v>
      </c>
      <c r="P63" s="2" t="s">
        <v>89</v>
      </c>
      <c r="Q63" s="2">
        <v>2</v>
      </c>
      <c r="R63" s="19">
        <v>44729</v>
      </c>
      <c r="S63" s="19">
        <v>46189</v>
      </c>
      <c r="T63" s="19">
        <v>45868</v>
      </c>
      <c r="U63" s="3">
        <f t="shared" si="2"/>
        <v>321</v>
      </c>
      <c r="V63" s="3" t="str">
        <f t="shared" si="6"/>
        <v>Not Expired</v>
      </c>
      <c r="W63" s="3" t="str">
        <f t="shared" si="7"/>
        <v>Not Expire</v>
      </c>
      <c r="X63" s="3" t="s">
        <v>280</v>
      </c>
      <c r="Y63" s="3" t="str">
        <f>VLOOKUP(O63,[5]Working!$F:$Q,12,0)</f>
        <v>DFIPL Purchase</v>
      </c>
      <c r="Z63" s="2" t="s">
        <v>95</v>
      </c>
      <c r="AA63" s="2" t="s">
        <v>119</v>
      </c>
    </row>
    <row r="64" spans="1:28" ht="18.600000000000001" customHeight="1" x14ac:dyDescent="0.3">
      <c r="A64" s="2">
        <v>189</v>
      </c>
      <c r="B64" s="2" t="s">
        <v>235</v>
      </c>
      <c r="C64" s="2" t="s">
        <v>76</v>
      </c>
      <c r="D64" s="2" t="s">
        <v>11</v>
      </c>
      <c r="E64" s="2" t="s">
        <v>12</v>
      </c>
      <c r="F64" s="2">
        <v>1.8</v>
      </c>
      <c r="G64" s="2">
        <v>18</v>
      </c>
      <c r="H64" s="2">
        <f t="shared" si="8"/>
        <v>32.4</v>
      </c>
      <c r="I64" s="2"/>
      <c r="J64" s="2">
        <v>0</v>
      </c>
      <c r="K64" s="2">
        <f t="shared" si="3"/>
        <v>0</v>
      </c>
      <c r="L64" s="2">
        <f t="shared" si="4"/>
        <v>0</v>
      </c>
      <c r="M64" s="2">
        <f t="shared" si="5"/>
        <v>32.4</v>
      </c>
      <c r="N64" s="2" t="s">
        <v>177</v>
      </c>
      <c r="O64" s="18">
        <v>2866745</v>
      </c>
      <c r="P64" s="2" t="s">
        <v>89</v>
      </c>
      <c r="Q64" s="2">
        <v>2</v>
      </c>
      <c r="R64" s="19">
        <v>44753</v>
      </c>
      <c r="S64" s="19">
        <v>46213</v>
      </c>
      <c r="T64" s="19">
        <v>45868</v>
      </c>
      <c r="U64" s="3">
        <f t="shared" si="2"/>
        <v>345</v>
      </c>
      <c r="V64" s="3" t="str">
        <f t="shared" si="6"/>
        <v>Not Expired</v>
      </c>
      <c r="W64" s="3" t="str">
        <f t="shared" si="7"/>
        <v>Not Expire</v>
      </c>
      <c r="X64" s="3" t="s">
        <v>280</v>
      </c>
      <c r="Y64" s="3" t="str">
        <f>VLOOKUP(O64,[5]Working!$F:$Q,12,0)</f>
        <v>DFIPL Purchase</v>
      </c>
      <c r="Z64" s="2"/>
      <c r="AA64" s="2" t="s">
        <v>116</v>
      </c>
    </row>
    <row r="65" spans="1:28" ht="18.600000000000001" customHeight="1" x14ac:dyDescent="0.3">
      <c r="A65" s="2">
        <v>44</v>
      </c>
      <c r="B65" s="2" t="s">
        <v>236</v>
      </c>
      <c r="C65" s="2" t="s">
        <v>39</v>
      </c>
      <c r="D65" s="2" t="s">
        <v>11</v>
      </c>
      <c r="E65" s="2" t="s">
        <v>12</v>
      </c>
      <c r="F65" s="2">
        <v>1.8</v>
      </c>
      <c r="G65" s="2">
        <v>3</v>
      </c>
      <c r="H65" s="2">
        <f t="shared" si="8"/>
        <v>5.4</v>
      </c>
      <c r="I65" s="2"/>
      <c r="J65" s="2">
        <v>0</v>
      </c>
      <c r="K65" s="2">
        <f t="shared" si="3"/>
        <v>0</v>
      </c>
      <c r="L65" s="2">
        <f t="shared" si="4"/>
        <v>0</v>
      </c>
      <c r="M65" s="2">
        <f t="shared" si="5"/>
        <v>5.4</v>
      </c>
      <c r="N65" s="2" t="s">
        <v>177</v>
      </c>
      <c r="O65" s="18">
        <v>3593644</v>
      </c>
      <c r="P65" s="2" t="s">
        <v>15</v>
      </c>
      <c r="Q65" s="2">
        <v>4</v>
      </c>
      <c r="R65" s="19">
        <v>45502</v>
      </c>
      <c r="S65" s="19">
        <v>46231</v>
      </c>
      <c r="T65" s="19">
        <v>45868</v>
      </c>
      <c r="U65" s="3">
        <f t="shared" ref="U65:U119" si="9">S65-T65</f>
        <v>363</v>
      </c>
      <c r="V65" s="3" t="str">
        <f t="shared" si="6"/>
        <v>Not Expired</v>
      </c>
      <c r="W65" s="3" t="str">
        <f t="shared" si="7"/>
        <v>Not Expire</v>
      </c>
      <c r="X65" s="3" t="s">
        <v>280</v>
      </c>
      <c r="Y65" s="3" t="str">
        <f>VLOOKUP(O65,[5]Working!$F:$Q,12,0)</f>
        <v>DFIPL Purchase</v>
      </c>
      <c r="Z65" s="2"/>
      <c r="AA65" s="2" t="s">
        <v>116</v>
      </c>
    </row>
    <row r="66" spans="1:28" ht="18.600000000000001" customHeight="1" x14ac:dyDescent="0.3">
      <c r="A66" s="2">
        <v>62</v>
      </c>
      <c r="B66" s="2" t="s">
        <v>209</v>
      </c>
      <c r="C66" s="13" t="s">
        <v>185</v>
      </c>
      <c r="D66" s="2" t="s">
        <v>24</v>
      </c>
      <c r="E66" s="2" t="s">
        <v>12</v>
      </c>
      <c r="F66" s="2">
        <v>16</v>
      </c>
      <c r="G66" s="2">
        <v>2</v>
      </c>
      <c r="H66" s="2">
        <f t="shared" si="8"/>
        <v>32</v>
      </c>
      <c r="I66" s="2"/>
      <c r="J66" s="2">
        <v>0</v>
      </c>
      <c r="K66" s="2">
        <f t="shared" si="3"/>
        <v>0</v>
      </c>
      <c r="L66" s="2">
        <f t="shared" si="4"/>
        <v>0</v>
      </c>
      <c r="M66" s="2">
        <f t="shared" si="5"/>
        <v>32</v>
      </c>
      <c r="N66" s="2" t="s">
        <v>177</v>
      </c>
      <c r="O66" s="18">
        <v>3597698</v>
      </c>
      <c r="P66" s="2" t="s">
        <v>15</v>
      </c>
      <c r="Q66" s="2">
        <v>4</v>
      </c>
      <c r="R66" s="19">
        <v>45504</v>
      </c>
      <c r="S66" s="19">
        <v>46234</v>
      </c>
      <c r="T66" s="19">
        <v>45868</v>
      </c>
      <c r="U66" s="3">
        <f t="shared" si="9"/>
        <v>366</v>
      </c>
      <c r="V66" s="3" t="str">
        <f t="shared" ref="V66:V120" si="10">IF(U66&lt;0,"Expired","Not Expired")</f>
        <v>Not Expired</v>
      </c>
      <c r="W66" s="3" t="str">
        <f t="shared" ref="W66:W120" si="11">IF(U66&lt;-45,"Expired more than 45 Days",IF(U66&lt;0,"Recently Expired within 45 Days ago",IF(U66&lt;=45,"Will be Expire within 45 Days","Not Expire")))</f>
        <v>Not Expire</v>
      </c>
      <c r="X66" s="3" t="s">
        <v>280</v>
      </c>
      <c r="Y66" s="3" t="str">
        <f>VLOOKUP(O66,[5]Working!$F:$Q,12,0)</f>
        <v>DFIPL Purchase</v>
      </c>
      <c r="Z66" s="2"/>
      <c r="AA66" s="2" t="s">
        <v>116</v>
      </c>
    </row>
    <row r="67" spans="1:28" s="24" customFormat="1" ht="18.600000000000001" customHeight="1" x14ac:dyDescent="0.3">
      <c r="A67" s="21">
        <v>88</v>
      </c>
      <c r="B67" s="2" t="s">
        <v>222</v>
      </c>
      <c r="C67" s="21" t="s">
        <v>29</v>
      </c>
      <c r="D67" s="21" t="s">
        <v>24</v>
      </c>
      <c r="E67" s="21" t="s">
        <v>12</v>
      </c>
      <c r="F67" s="21">
        <v>16</v>
      </c>
      <c r="G67" s="21">
        <v>1</v>
      </c>
      <c r="H67" s="21">
        <f t="shared" si="8"/>
        <v>16</v>
      </c>
      <c r="I67" s="21"/>
      <c r="J67" s="21">
        <v>0</v>
      </c>
      <c r="K67" s="2">
        <f t="shared" si="3"/>
        <v>0</v>
      </c>
      <c r="L67" s="2">
        <f t="shared" si="4"/>
        <v>0</v>
      </c>
      <c r="M67" s="2">
        <f t="shared" si="5"/>
        <v>16</v>
      </c>
      <c r="N67" s="21" t="s">
        <v>177</v>
      </c>
      <c r="O67" s="22">
        <v>3587698</v>
      </c>
      <c r="P67" s="21" t="s">
        <v>15</v>
      </c>
      <c r="Q67" s="21">
        <v>4</v>
      </c>
      <c r="R67" s="23">
        <v>45504</v>
      </c>
      <c r="S67" s="23">
        <v>46234</v>
      </c>
      <c r="T67" s="19">
        <v>45868</v>
      </c>
      <c r="U67" s="3">
        <f t="shared" si="9"/>
        <v>366</v>
      </c>
      <c r="V67" s="3" t="str">
        <f t="shared" si="10"/>
        <v>Not Expired</v>
      </c>
      <c r="W67" s="3" t="str">
        <f t="shared" si="11"/>
        <v>Not Expire</v>
      </c>
      <c r="X67" s="3" t="s">
        <v>280</v>
      </c>
      <c r="Y67" s="3" t="str">
        <f>VLOOKUP(O67,[5]Working!$F:$Q,12,0)</f>
        <v>DFIPL Purchase</v>
      </c>
      <c r="Z67" s="2"/>
      <c r="AA67" s="2" t="s">
        <v>116</v>
      </c>
      <c r="AB67"/>
    </row>
    <row r="68" spans="1:28" ht="18.600000000000001" hidden="1" customHeight="1" x14ac:dyDescent="0.3">
      <c r="A68" s="2">
        <v>138</v>
      </c>
      <c r="B68" s="2" t="s">
        <v>171</v>
      </c>
      <c r="C68" s="2" t="s">
        <v>171</v>
      </c>
      <c r="D68" s="2" t="s">
        <v>11</v>
      </c>
      <c r="E68" s="2" t="s">
        <v>12</v>
      </c>
      <c r="F68" s="2">
        <v>2.5</v>
      </c>
      <c r="G68" s="2">
        <v>57</v>
      </c>
      <c r="H68" s="2">
        <f t="shared" si="8"/>
        <v>142.5</v>
      </c>
      <c r="I68" s="27"/>
      <c r="J68" s="27">
        <v>0</v>
      </c>
      <c r="K68" s="2">
        <f t="shared" ref="K68:K131" si="12">I68*F68</f>
        <v>0</v>
      </c>
      <c r="L68" s="2">
        <f t="shared" ref="L68:L131" si="13">K68-J68</f>
        <v>0</v>
      </c>
      <c r="M68" s="2">
        <f t="shared" ref="M68:M131" si="14">H68-K68</f>
        <v>142.5</v>
      </c>
      <c r="N68" s="2" t="s">
        <v>177</v>
      </c>
      <c r="O68" s="32">
        <v>75045922</v>
      </c>
      <c r="P68" s="2" t="s">
        <v>59</v>
      </c>
      <c r="Q68" s="2">
        <v>1</v>
      </c>
      <c r="R68" s="19">
        <v>45751</v>
      </c>
      <c r="S68" s="19">
        <v>46238</v>
      </c>
      <c r="T68" s="19">
        <v>45868</v>
      </c>
      <c r="U68" s="3">
        <f t="shared" si="9"/>
        <v>370</v>
      </c>
      <c r="V68" s="3" t="str">
        <f t="shared" si="10"/>
        <v>Not Expired</v>
      </c>
      <c r="W68" s="3" t="str">
        <f t="shared" si="11"/>
        <v>Not Expire</v>
      </c>
      <c r="X68" s="3" t="s">
        <v>281</v>
      </c>
      <c r="Y68" s="3" t="e">
        <f>VLOOKUP(O68,[5]Working!$F:$Q,12,0)</f>
        <v>#N/A</v>
      </c>
      <c r="Z68" s="2"/>
      <c r="AA68" s="2" t="s">
        <v>116</v>
      </c>
      <c r="AB68" t="s">
        <v>163</v>
      </c>
    </row>
    <row r="69" spans="1:28" ht="18.600000000000001" hidden="1" customHeight="1" x14ac:dyDescent="0.3">
      <c r="A69" s="2">
        <v>135</v>
      </c>
      <c r="B69" s="2" t="s">
        <v>237</v>
      </c>
      <c r="C69" s="2" t="s">
        <v>85</v>
      </c>
      <c r="D69" s="2" t="s">
        <v>11</v>
      </c>
      <c r="E69" s="2" t="s">
        <v>12</v>
      </c>
      <c r="F69" s="2">
        <v>4</v>
      </c>
      <c r="G69" s="2">
        <v>134</v>
      </c>
      <c r="H69" s="2">
        <f t="shared" si="8"/>
        <v>536</v>
      </c>
      <c r="I69" s="27">
        <v>7</v>
      </c>
      <c r="J69" s="27">
        <v>0</v>
      </c>
      <c r="K69" s="2">
        <f t="shared" si="12"/>
        <v>28</v>
      </c>
      <c r="L69" s="2">
        <f t="shared" si="13"/>
        <v>28</v>
      </c>
      <c r="M69" s="2">
        <f t="shared" si="14"/>
        <v>508</v>
      </c>
      <c r="N69" s="2" t="s">
        <v>177</v>
      </c>
      <c r="O69" s="18">
        <v>75045027</v>
      </c>
      <c r="P69" s="2" t="s">
        <v>59</v>
      </c>
      <c r="Q69" s="2">
        <v>1</v>
      </c>
      <c r="R69" s="19">
        <v>45754</v>
      </c>
      <c r="S69" s="19">
        <v>46241</v>
      </c>
      <c r="T69" s="19">
        <v>45868</v>
      </c>
      <c r="U69" s="3">
        <f t="shared" si="9"/>
        <v>373</v>
      </c>
      <c r="V69" s="3" t="str">
        <f t="shared" si="10"/>
        <v>Not Expired</v>
      </c>
      <c r="W69" s="3" t="str">
        <f t="shared" si="11"/>
        <v>Not Expire</v>
      </c>
      <c r="X69" s="3" t="s">
        <v>281</v>
      </c>
      <c r="Y69" s="3" t="e">
        <f>VLOOKUP(O69,[5]Working!$F:$Q,12,0)</f>
        <v>#N/A</v>
      </c>
      <c r="Z69" s="2"/>
      <c r="AA69" s="2" t="s">
        <v>116</v>
      </c>
      <c r="AB69" t="s">
        <v>298</v>
      </c>
    </row>
    <row r="70" spans="1:28" ht="18.600000000000001" customHeight="1" x14ac:dyDescent="0.3">
      <c r="A70" s="2">
        <v>63</v>
      </c>
      <c r="B70" s="2" t="s">
        <v>209</v>
      </c>
      <c r="C70" s="2" t="s">
        <v>29</v>
      </c>
      <c r="D70" s="2" t="s">
        <v>24</v>
      </c>
      <c r="E70" s="2" t="s">
        <v>12</v>
      </c>
      <c r="F70" s="2">
        <v>16</v>
      </c>
      <c r="G70" s="2">
        <v>1</v>
      </c>
      <c r="H70" s="2">
        <f t="shared" si="8"/>
        <v>16</v>
      </c>
      <c r="I70" s="2"/>
      <c r="J70" s="2">
        <v>0</v>
      </c>
      <c r="K70" s="2">
        <f t="shared" si="12"/>
        <v>0</v>
      </c>
      <c r="L70" s="2">
        <f t="shared" si="13"/>
        <v>0</v>
      </c>
      <c r="M70" s="2">
        <f t="shared" si="14"/>
        <v>16</v>
      </c>
      <c r="N70" s="2" t="s">
        <v>177</v>
      </c>
      <c r="O70" s="18">
        <v>3604593</v>
      </c>
      <c r="P70" s="2" t="s">
        <v>15</v>
      </c>
      <c r="Q70" s="2">
        <v>4</v>
      </c>
      <c r="R70" s="19">
        <v>45512</v>
      </c>
      <c r="S70" s="19">
        <v>46242</v>
      </c>
      <c r="T70" s="19">
        <v>45868</v>
      </c>
      <c r="U70" s="3">
        <f t="shared" si="9"/>
        <v>374</v>
      </c>
      <c r="V70" s="3" t="str">
        <f t="shared" si="10"/>
        <v>Not Expired</v>
      </c>
      <c r="W70" s="3" t="str">
        <f t="shared" si="11"/>
        <v>Not Expire</v>
      </c>
      <c r="X70" s="3" t="s">
        <v>280</v>
      </c>
      <c r="Y70" s="3" t="str">
        <f>VLOOKUP(O70,[5]Working!$F:$Q,12,0)</f>
        <v>DFIPL Purchase</v>
      </c>
      <c r="Z70" s="2"/>
      <c r="AA70" s="2" t="s">
        <v>116</v>
      </c>
    </row>
    <row r="71" spans="1:28" ht="18.600000000000001" hidden="1" customHeight="1" x14ac:dyDescent="0.3">
      <c r="A71" s="2">
        <v>134</v>
      </c>
      <c r="B71" s="2" t="s">
        <v>217</v>
      </c>
      <c r="C71" s="2" t="s">
        <v>61</v>
      </c>
      <c r="D71" s="2" t="s">
        <v>24</v>
      </c>
      <c r="E71" s="2" t="s">
        <v>12</v>
      </c>
      <c r="F71" s="2">
        <v>16</v>
      </c>
      <c r="G71" s="2">
        <v>128</v>
      </c>
      <c r="H71" s="2">
        <f t="shared" si="8"/>
        <v>2048</v>
      </c>
      <c r="I71" s="27"/>
      <c r="J71" s="27">
        <v>0</v>
      </c>
      <c r="K71" s="2">
        <f t="shared" si="12"/>
        <v>0</v>
      </c>
      <c r="L71" s="2">
        <f t="shared" si="13"/>
        <v>0</v>
      </c>
      <c r="M71" s="2">
        <f t="shared" si="14"/>
        <v>2048</v>
      </c>
      <c r="N71" s="2" t="s">
        <v>177</v>
      </c>
      <c r="O71" s="18">
        <v>75045064</v>
      </c>
      <c r="P71" s="2" t="s">
        <v>59</v>
      </c>
      <c r="Q71" s="2">
        <v>1</v>
      </c>
      <c r="R71" s="19">
        <v>45763</v>
      </c>
      <c r="S71" s="19">
        <v>46250</v>
      </c>
      <c r="T71" s="19">
        <v>45868</v>
      </c>
      <c r="U71" s="3">
        <f t="shared" si="9"/>
        <v>382</v>
      </c>
      <c r="V71" s="3" t="str">
        <f t="shared" si="10"/>
        <v>Not Expired</v>
      </c>
      <c r="W71" s="3" t="str">
        <f t="shared" si="11"/>
        <v>Not Expire</v>
      </c>
      <c r="X71" s="3" t="s">
        <v>281</v>
      </c>
      <c r="Y71" s="3" t="e">
        <f>VLOOKUP(O71,[5]Working!$F:$Q,12,0)</f>
        <v>#N/A</v>
      </c>
      <c r="Z71" s="2"/>
      <c r="AA71" s="2" t="s">
        <v>116</v>
      </c>
    </row>
    <row r="72" spans="1:28" ht="18.600000000000001" customHeight="1" x14ac:dyDescent="0.3">
      <c r="A72" s="2">
        <v>89</v>
      </c>
      <c r="B72" s="2" t="s">
        <v>209</v>
      </c>
      <c r="C72" s="2" t="s">
        <v>29</v>
      </c>
      <c r="D72" s="2" t="s">
        <v>24</v>
      </c>
      <c r="E72" s="2" t="s">
        <v>12</v>
      </c>
      <c r="F72" s="2">
        <v>16</v>
      </c>
      <c r="G72" s="2">
        <v>9</v>
      </c>
      <c r="H72" s="2">
        <f t="shared" ref="H72:H126" si="15">F72*G72</f>
        <v>144</v>
      </c>
      <c r="I72" s="2"/>
      <c r="J72" s="2">
        <v>0</v>
      </c>
      <c r="K72" s="2">
        <f t="shared" si="12"/>
        <v>0</v>
      </c>
      <c r="L72" s="2">
        <f t="shared" si="13"/>
        <v>0</v>
      </c>
      <c r="M72" s="2">
        <f t="shared" si="14"/>
        <v>144</v>
      </c>
      <c r="N72" s="2" t="s">
        <v>178</v>
      </c>
      <c r="O72" s="18">
        <v>3628121</v>
      </c>
      <c r="P72" s="2" t="s">
        <v>15</v>
      </c>
      <c r="Q72" s="2">
        <v>4</v>
      </c>
      <c r="R72" s="19">
        <v>45534</v>
      </c>
      <c r="S72" s="19">
        <v>46254</v>
      </c>
      <c r="T72" s="19">
        <v>45868</v>
      </c>
      <c r="U72" s="3">
        <f t="shared" si="9"/>
        <v>386</v>
      </c>
      <c r="V72" s="3" t="str">
        <f t="shared" si="10"/>
        <v>Not Expired</v>
      </c>
      <c r="W72" s="3" t="str">
        <f t="shared" si="11"/>
        <v>Not Expire</v>
      </c>
      <c r="X72" s="3" t="s">
        <v>280</v>
      </c>
      <c r="Y72" s="3" t="str">
        <f>VLOOKUP(O72,[5]Working!$F:$Q,12,0)</f>
        <v>DFIPL Purchase</v>
      </c>
      <c r="Z72" s="2"/>
      <c r="AA72" s="2" t="s">
        <v>116</v>
      </c>
    </row>
    <row r="73" spans="1:28" ht="18.600000000000001" hidden="1" customHeight="1" x14ac:dyDescent="0.3">
      <c r="A73" s="2">
        <v>84</v>
      </c>
      <c r="B73" s="2" t="s">
        <v>238</v>
      </c>
      <c r="C73" s="2" t="s">
        <v>68</v>
      </c>
      <c r="D73" s="2" t="s">
        <v>11</v>
      </c>
      <c r="E73" s="2" t="s">
        <v>12</v>
      </c>
      <c r="F73" s="2">
        <v>2.5</v>
      </c>
      <c r="G73" s="2">
        <v>10</v>
      </c>
      <c r="H73" s="2">
        <f t="shared" si="15"/>
        <v>25</v>
      </c>
      <c r="I73" s="27">
        <v>4</v>
      </c>
      <c r="J73" s="27">
        <v>0</v>
      </c>
      <c r="K73" s="2">
        <f t="shared" si="12"/>
        <v>10</v>
      </c>
      <c r="L73" s="2">
        <f t="shared" si="13"/>
        <v>10</v>
      </c>
      <c r="M73" s="2">
        <f t="shared" si="14"/>
        <v>15</v>
      </c>
      <c r="N73" s="2" t="s">
        <v>177</v>
      </c>
      <c r="O73" s="18">
        <v>75045187</v>
      </c>
      <c r="P73" s="2" t="s">
        <v>59</v>
      </c>
      <c r="Q73" s="2">
        <v>1</v>
      </c>
      <c r="R73" s="19">
        <v>45772</v>
      </c>
      <c r="S73" s="19">
        <v>46259</v>
      </c>
      <c r="T73" s="19">
        <v>45868</v>
      </c>
      <c r="U73" s="3">
        <f t="shared" si="9"/>
        <v>391</v>
      </c>
      <c r="V73" s="3" t="str">
        <f t="shared" si="10"/>
        <v>Not Expired</v>
      </c>
      <c r="W73" s="3" t="str">
        <f t="shared" si="11"/>
        <v>Not Expire</v>
      </c>
      <c r="X73" s="3" t="s">
        <v>281</v>
      </c>
      <c r="Y73" s="3" t="e">
        <f>VLOOKUP(O73,[5]Working!$F:$Q,12,0)</f>
        <v>#N/A</v>
      </c>
      <c r="Z73" s="2"/>
      <c r="AA73" s="2" t="s">
        <v>116</v>
      </c>
      <c r="AB73" t="s">
        <v>299</v>
      </c>
    </row>
    <row r="74" spans="1:28" ht="18.600000000000001" customHeight="1" x14ac:dyDescent="0.3">
      <c r="A74" s="2">
        <v>87</v>
      </c>
      <c r="B74" s="2" t="s">
        <v>209</v>
      </c>
      <c r="C74" s="2" t="s">
        <v>29</v>
      </c>
      <c r="D74" s="2" t="s">
        <v>24</v>
      </c>
      <c r="E74" s="2" t="s">
        <v>12</v>
      </c>
      <c r="F74" s="2">
        <v>16</v>
      </c>
      <c r="G74" s="2">
        <v>3</v>
      </c>
      <c r="H74" s="2">
        <f t="shared" si="15"/>
        <v>48</v>
      </c>
      <c r="I74" s="2"/>
      <c r="J74" s="2">
        <v>0</v>
      </c>
      <c r="K74" s="2">
        <f t="shared" si="12"/>
        <v>0</v>
      </c>
      <c r="L74" s="2">
        <f t="shared" si="13"/>
        <v>0</v>
      </c>
      <c r="M74" s="2">
        <f t="shared" si="14"/>
        <v>48</v>
      </c>
      <c r="N74" s="2" t="s">
        <v>178</v>
      </c>
      <c r="O74" s="18">
        <v>3624897</v>
      </c>
      <c r="P74" s="2" t="s">
        <v>15</v>
      </c>
      <c r="Q74" s="2">
        <v>4</v>
      </c>
      <c r="R74" s="19">
        <v>45532</v>
      </c>
      <c r="S74" s="19">
        <v>46262</v>
      </c>
      <c r="T74" s="19">
        <v>45868</v>
      </c>
      <c r="U74" s="3">
        <f t="shared" si="9"/>
        <v>394</v>
      </c>
      <c r="V74" s="3" t="str">
        <f t="shared" si="10"/>
        <v>Not Expired</v>
      </c>
      <c r="W74" s="3" t="str">
        <f t="shared" si="11"/>
        <v>Not Expire</v>
      </c>
      <c r="X74" s="3" t="s">
        <v>280</v>
      </c>
      <c r="Y74" s="3" t="str">
        <f>VLOOKUP(O74,[5]Working!$F:$Q,12,0)</f>
        <v>DFIPL Purchase</v>
      </c>
      <c r="Z74" s="2"/>
      <c r="AA74" s="2" t="s">
        <v>116</v>
      </c>
    </row>
    <row r="75" spans="1:28" ht="18.600000000000001" customHeight="1" x14ac:dyDescent="0.3">
      <c r="A75" s="2">
        <v>33</v>
      </c>
      <c r="B75" s="2" t="s">
        <v>198</v>
      </c>
      <c r="C75" s="2" t="s">
        <v>22</v>
      </c>
      <c r="D75" s="2" t="s">
        <v>11</v>
      </c>
      <c r="E75" s="2" t="s">
        <v>12</v>
      </c>
      <c r="F75" s="2">
        <v>4</v>
      </c>
      <c r="G75" s="2">
        <v>4</v>
      </c>
      <c r="H75" s="2">
        <f t="shared" si="15"/>
        <v>16</v>
      </c>
      <c r="I75" s="2"/>
      <c r="J75" s="2">
        <v>0</v>
      </c>
      <c r="K75" s="2">
        <f t="shared" si="12"/>
        <v>0</v>
      </c>
      <c r="L75" s="2">
        <f t="shared" si="13"/>
        <v>0</v>
      </c>
      <c r="M75" s="2">
        <f t="shared" si="14"/>
        <v>16</v>
      </c>
      <c r="N75" s="2" t="s">
        <v>178</v>
      </c>
      <c r="O75" s="18">
        <v>3626370</v>
      </c>
      <c r="P75" s="2" t="s">
        <v>15</v>
      </c>
      <c r="Q75" s="2">
        <v>4</v>
      </c>
      <c r="R75" s="19">
        <v>45533</v>
      </c>
      <c r="S75" s="19">
        <v>46263</v>
      </c>
      <c r="T75" s="19">
        <v>45868</v>
      </c>
      <c r="U75" s="3">
        <f t="shared" si="9"/>
        <v>395</v>
      </c>
      <c r="V75" s="3" t="str">
        <f t="shared" si="10"/>
        <v>Not Expired</v>
      </c>
      <c r="W75" s="3" t="str">
        <f t="shared" si="11"/>
        <v>Not Expire</v>
      </c>
      <c r="X75" s="3" t="s">
        <v>280</v>
      </c>
      <c r="Y75" s="3" t="str">
        <f>VLOOKUP(O75,[5]Working!$F:$Q,12,0)</f>
        <v>DFIPL Purchase</v>
      </c>
      <c r="Z75" s="2"/>
      <c r="AA75" s="2" t="s">
        <v>116</v>
      </c>
    </row>
    <row r="76" spans="1:28" ht="18.600000000000001" customHeight="1" x14ac:dyDescent="0.3">
      <c r="A76" s="2">
        <v>60</v>
      </c>
      <c r="B76" s="2" t="s">
        <v>198</v>
      </c>
      <c r="C76" s="2" t="s">
        <v>22</v>
      </c>
      <c r="D76" s="2" t="s">
        <v>11</v>
      </c>
      <c r="E76" s="2" t="s">
        <v>12</v>
      </c>
      <c r="F76" s="2">
        <v>4</v>
      </c>
      <c r="G76" s="2">
        <v>7</v>
      </c>
      <c r="H76" s="2">
        <f t="shared" si="15"/>
        <v>28</v>
      </c>
      <c r="I76" s="2"/>
      <c r="J76" s="2">
        <v>0</v>
      </c>
      <c r="K76" s="2">
        <f t="shared" si="12"/>
        <v>0</v>
      </c>
      <c r="L76" s="2">
        <f t="shared" si="13"/>
        <v>0</v>
      </c>
      <c r="M76" s="2">
        <f t="shared" si="14"/>
        <v>28</v>
      </c>
      <c r="N76" s="2" t="s">
        <v>178</v>
      </c>
      <c r="O76" s="18">
        <v>3628963</v>
      </c>
      <c r="P76" s="2" t="s">
        <v>15</v>
      </c>
      <c r="Q76" s="2">
        <v>4</v>
      </c>
      <c r="R76" s="19">
        <v>45537</v>
      </c>
      <c r="S76" s="19">
        <v>46267</v>
      </c>
      <c r="T76" s="19">
        <v>45868</v>
      </c>
      <c r="U76" s="3">
        <f t="shared" si="9"/>
        <v>399</v>
      </c>
      <c r="V76" s="3" t="str">
        <f t="shared" si="10"/>
        <v>Not Expired</v>
      </c>
      <c r="W76" s="3" t="str">
        <f t="shared" si="11"/>
        <v>Not Expire</v>
      </c>
      <c r="X76" s="3" t="s">
        <v>280</v>
      </c>
      <c r="Y76" s="3" t="str">
        <f>VLOOKUP(O76,[5]Working!$F:$Q,12,0)</f>
        <v>DFIPL Purchase</v>
      </c>
      <c r="Z76" s="2"/>
      <c r="AA76" s="2" t="s">
        <v>116</v>
      </c>
    </row>
    <row r="77" spans="1:28" ht="18.600000000000001" customHeight="1" x14ac:dyDescent="0.3">
      <c r="A77" s="2">
        <v>64</v>
      </c>
      <c r="B77" s="2" t="s">
        <v>222</v>
      </c>
      <c r="C77" s="2" t="s">
        <v>30</v>
      </c>
      <c r="D77" s="2" t="s">
        <v>24</v>
      </c>
      <c r="E77" s="2" t="s">
        <v>12</v>
      </c>
      <c r="F77" s="2">
        <v>16</v>
      </c>
      <c r="G77" s="2">
        <v>1</v>
      </c>
      <c r="H77" s="2">
        <f t="shared" si="15"/>
        <v>16</v>
      </c>
      <c r="I77" s="2"/>
      <c r="J77" s="2">
        <v>0</v>
      </c>
      <c r="K77" s="2">
        <f t="shared" si="12"/>
        <v>0</v>
      </c>
      <c r="L77" s="2">
        <f t="shared" si="13"/>
        <v>0</v>
      </c>
      <c r="M77" s="2">
        <f t="shared" si="14"/>
        <v>16</v>
      </c>
      <c r="N77" s="2" t="s">
        <v>177</v>
      </c>
      <c r="O77" s="18">
        <v>3630657</v>
      </c>
      <c r="P77" s="2" t="s">
        <v>15</v>
      </c>
      <c r="Q77" s="2">
        <v>4</v>
      </c>
      <c r="R77" s="19">
        <v>45538</v>
      </c>
      <c r="S77" s="19">
        <v>46268</v>
      </c>
      <c r="T77" s="19">
        <v>45868</v>
      </c>
      <c r="U77" s="3">
        <f t="shared" si="9"/>
        <v>400</v>
      </c>
      <c r="V77" s="3" t="str">
        <f t="shared" si="10"/>
        <v>Not Expired</v>
      </c>
      <c r="W77" s="3" t="str">
        <f t="shared" si="11"/>
        <v>Not Expire</v>
      </c>
      <c r="X77" s="3" t="s">
        <v>280</v>
      </c>
      <c r="Y77" s="3" t="str">
        <f>VLOOKUP(O77,[5]Working!$F:$Q,12,0)</f>
        <v>DFIPL Purchase</v>
      </c>
      <c r="Z77" s="2"/>
      <c r="AA77" s="2" t="s">
        <v>116</v>
      </c>
    </row>
    <row r="78" spans="1:28" ht="18.600000000000001" hidden="1" customHeight="1" x14ac:dyDescent="0.3">
      <c r="A78" s="2">
        <v>215</v>
      </c>
      <c r="B78" s="2" t="s">
        <v>226</v>
      </c>
      <c r="C78" s="2" t="s">
        <v>30</v>
      </c>
      <c r="D78" s="2" t="s">
        <v>24</v>
      </c>
      <c r="E78" s="2" t="s">
        <v>12</v>
      </c>
      <c r="F78" s="2">
        <v>16</v>
      </c>
      <c r="G78" s="2">
        <v>1</v>
      </c>
      <c r="H78" s="2">
        <f t="shared" si="15"/>
        <v>16</v>
      </c>
      <c r="I78" s="2"/>
      <c r="J78" s="2">
        <v>0</v>
      </c>
      <c r="K78" s="2">
        <f t="shared" si="12"/>
        <v>0</v>
      </c>
      <c r="L78" s="2">
        <f t="shared" si="13"/>
        <v>0</v>
      </c>
      <c r="M78" s="2">
        <f t="shared" si="14"/>
        <v>16</v>
      </c>
      <c r="N78" s="2" t="s">
        <v>177</v>
      </c>
      <c r="O78" s="18">
        <v>3631958</v>
      </c>
      <c r="P78" s="2" t="s">
        <v>90</v>
      </c>
      <c r="Q78" s="2">
        <v>2</v>
      </c>
      <c r="R78" s="19">
        <v>45539</v>
      </c>
      <c r="S78" s="19">
        <v>46269</v>
      </c>
      <c r="T78" s="19">
        <v>45868</v>
      </c>
      <c r="U78" s="3">
        <f t="shared" si="9"/>
        <v>401</v>
      </c>
      <c r="V78" s="3" t="str">
        <f t="shared" si="10"/>
        <v>Not Expired</v>
      </c>
      <c r="W78" s="3" t="str">
        <f t="shared" si="11"/>
        <v>Not Expire</v>
      </c>
      <c r="X78" s="3" t="s">
        <v>281</v>
      </c>
      <c r="Y78" s="3" t="e">
        <f>VLOOKUP(O78,[5]Working!$F:$Q,12,0)</f>
        <v>#N/A</v>
      </c>
      <c r="Z78" s="2"/>
      <c r="AA78" s="2" t="s">
        <v>116</v>
      </c>
    </row>
    <row r="79" spans="1:28" ht="18.600000000000001" customHeight="1" x14ac:dyDescent="0.3">
      <c r="A79" s="2">
        <v>66</v>
      </c>
      <c r="B79" s="2" t="s">
        <v>239</v>
      </c>
      <c r="C79" s="2" t="s">
        <v>150</v>
      </c>
      <c r="D79" s="2" t="s">
        <v>24</v>
      </c>
      <c r="E79" s="2" t="s">
        <v>12</v>
      </c>
      <c r="F79" s="13">
        <v>18.170000000000002</v>
      </c>
      <c r="G79" s="2">
        <v>1</v>
      </c>
      <c r="H79" s="2">
        <f t="shared" si="15"/>
        <v>18.170000000000002</v>
      </c>
      <c r="I79" s="2"/>
      <c r="J79" s="2">
        <v>0</v>
      </c>
      <c r="K79" s="2">
        <f t="shared" si="12"/>
        <v>0</v>
      </c>
      <c r="L79" s="2">
        <f t="shared" si="13"/>
        <v>0</v>
      </c>
      <c r="M79" s="2">
        <f t="shared" si="14"/>
        <v>18.170000000000002</v>
      </c>
      <c r="N79" s="2" t="s">
        <v>177</v>
      </c>
      <c r="O79" s="18">
        <v>2921072</v>
      </c>
      <c r="P79" s="2" t="s">
        <v>15</v>
      </c>
      <c r="Q79" s="2">
        <v>4</v>
      </c>
      <c r="R79" s="19">
        <v>44816</v>
      </c>
      <c r="S79" s="19">
        <v>46276</v>
      </c>
      <c r="T79" s="19">
        <v>45868</v>
      </c>
      <c r="U79" s="3">
        <f t="shared" si="9"/>
        <v>408</v>
      </c>
      <c r="V79" s="3" t="str">
        <f t="shared" si="10"/>
        <v>Not Expired</v>
      </c>
      <c r="W79" s="3" t="str">
        <f t="shared" si="11"/>
        <v>Not Expire</v>
      </c>
      <c r="X79" s="3" t="s">
        <v>280</v>
      </c>
      <c r="Y79" s="3" t="str">
        <f>VLOOKUP(O79,[5]Working!$F:$Q,12,0)</f>
        <v>DFIPL Purchase</v>
      </c>
      <c r="Z79" s="2"/>
      <c r="AA79" s="2" t="s">
        <v>116</v>
      </c>
    </row>
    <row r="80" spans="1:28" ht="18.600000000000001" customHeight="1" x14ac:dyDescent="0.3">
      <c r="A80" s="2">
        <v>110</v>
      </c>
      <c r="B80" s="2" t="s">
        <v>194</v>
      </c>
      <c r="C80" s="2" t="s">
        <v>76</v>
      </c>
      <c r="D80" s="2" t="s">
        <v>11</v>
      </c>
      <c r="E80" s="2" t="s">
        <v>12</v>
      </c>
      <c r="F80" s="2">
        <v>1.8</v>
      </c>
      <c r="G80" s="2">
        <v>1</v>
      </c>
      <c r="H80" s="2">
        <f t="shared" si="15"/>
        <v>1.8</v>
      </c>
      <c r="I80" s="2"/>
      <c r="J80" s="2">
        <v>0</v>
      </c>
      <c r="K80" s="2">
        <f t="shared" si="12"/>
        <v>0</v>
      </c>
      <c r="L80" s="2">
        <f t="shared" si="13"/>
        <v>0</v>
      </c>
      <c r="M80" s="2">
        <f t="shared" si="14"/>
        <v>1.8</v>
      </c>
      <c r="N80" s="2" t="s">
        <v>177</v>
      </c>
      <c r="O80" s="18">
        <v>2934027</v>
      </c>
      <c r="P80" s="2" t="s">
        <v>15</v>
      </c>
      <c r="Q80" s="2">
        <v>4</v>
      </c>
      <c r="R80" s="19">
        <v>44827</v>
      </c>
      <c r="S80" s="19">
        <v>46287</v>
      </c>
      <c r="T80" s="19">
        <v>45868</v>
      </c>
      <c r="U80" s="3">
        <f t="shared" si="9"/>
        <v>419</v>
      </c>
      <c r="V80" s="3" t="str">
        <f t="shared" si="10"/>
        <v>Not Expired</v>
      </c>
      <c r="W80" s="3" t="str">
        <f t="shared" si="11"/>
        <v>Not Expire</v>
      </c>
      <c r="X80" s="3" t="s">
        <v>280</v>
      </c>
      <c r="Y80" s="3" t="str">
        <f>VLOOKUP(O80,[5]Working!$F:$Q,12,0)</f>
        <v>DFIPL Purchase</v>
      </c>
      <c r="Z80" s="2"/>
      <c r="AA80" s="2" t="s">
        <v>116</v>
      </c>
    </row>
    <row r="81" spans="1:28" ht="18.600000000000001" customHeight="1" x14ac:dyDescent="0.3">
      <c r="A81" s="2">
        <v>61</v>
      </c>
      <c r="B81" s="2" t="s">
        <v>198</v>
      </c>
      <c r="C81" s="2" t="s">
        <v>22</v>
      </c>
      <c r="D81" s="2" t="s">
        <v>11</v>
      </c>
      <c r="E81" s="2" t="s">
        <v>12</v>
      </c>
      <c r="F81" s="2">
        <v>4</v>
      </c>
      <c r="G81" s="2">
        <v>8</v>
      </c>
      <c r="H81" s="2">
        <f t="shared" si="15"/>
        <v>32</v>
      </c>
      <c r="I81" s="2"/>
      <c r="J81" s="2">
        <v>0</v>
      </c>
      <c r="K81" s="2">
        <f t="shared" si="12"/>
        <v>0</v>
      </c>
      <c r="L81" s="2">
        <f t="shared" si="13"/>
        <v>0</v>
      </c>
      <c r="M81" s="2">
        <f t="shared" si="14"/>
        <v>32</v>
      </c>
      <c r="N81" s="2" t="s">
        <v>177</v>
      </c>
      <c r="O81" s="18">
        <v>3690471</v>
      </c>
      <c r="P81" s="2" t="s">
        <v>15</v>
      </c>
      <c r="Q81" s="2">
        <v>4</v>
      </c>
      <c r="R81" s="19">
        <v>45582</v>
      </c>
      <c r="S81" s="19">
        <v>46312</v>
      </c>
      <c r="T81" s="19">
        <v>45868</v>
      </c>
      <c r="U81" s="3">
        <f t="shared" si="9"/>
        <v>444</v>
      </c>
      <c r="V81" s="3" t="str">
        <f t="shared" si="10"/>
        <v>Not Expired</v>
      </c>
      <c r="W81" s="3" t="str">
        <f t="shared" si="11"/>
        <v>Not Expire</v>
      </c>
      <c r="X81" s="3" t="s">
        <v>280</v>
      </c>
      <c r="Y81" s="3" t="str">
        <f>VLOOKUP(O81,[5]Working!$F:$Q,12,0)</f>
        <v>DFIPL Purchase</v>
      </c>
      <c r="Z81" s="2"/>
      <c r="AA81" s="2" t="s">
        <v>116</v>
      </c>
    </row>
    <row r="82" spans="1:28" ht="18.600000000000001" hidden="1" customHeight="1" x14ac:dyDescent="0.3">
      <c r="A82" s="2">
        <v>82</v>
      </c>
      <c r="B82" s="2" t="s">
        <v>240</v>
      </c>
      <c r="C82" s="2" t="s">
        <v>154</v>
      </c>
      <c r="D82" s="2" t="s">
        <v>24</v>
      </c>
      <c r="E82" s="2" t="s">
        <v>12</v>
      </c>
      <c r="F82" s="2">
        <v>17.5</v>
      </c>
      <c r="G82" s="2">
        <v>8</v>
      </c>
      <c r="H82" s="2">
        <f t="shared" si="15"/>
        <v>140</v>
      </c>
      <c r="I82" s="27">
        <v>2</v>
      </c>
      <c r="J82" s="27">
        <v>0</v>
      </c>
      <c r="K82" s="2">
        <f t="shared" si="12"/>
        <v>35</v>
      </c>
      <c r="L82" s="2">
        <f t="shared" si="13"/>
        <v>35</v>
      </c>
      <c r="M82" s="2">
        <f t="shared" si="14"/>
        <v>105</v>
      </c>
      <c r="N82" s="2" t="s">
        <v>177</v>
      </c>
      <c r="O82" s="18">
        <v>74095319</v>
      </c>
      <c r="P82" s="2" t="s">
        <v>59</v>
      </c>
      <c r="Q82" s="2">
        <v>1</v>
      </c>
      <c r="R82" s="19">
        <v>45582</v>
      </c>
      <c r="S82" s="19">
        <v>46312</v>
      </c>
      <c r="T82" s="19">
        <v>45868</v>
      </c>
      <c r="U82" s="3">
        <f t="shared" si="9"/>
        <v>444</v>
      </c>
      <c r="V82" s="3" t="str">
        <f t="shared" si="10"/>
        <v>Not Expired</v>
      </c>
      <c r="W82" s="3" t="str">
        <f t="shared" si="11"/>
        <v>Not Expire</v>
      </c>
      <c r="X82" s="3" t="s">
        <v>281</v>
      </c>
      <c r="Y82" s="3" t="e">
        <f>VLOOKUP(O82,[5]Working!$F:$Q,12,0)</f>
        <v>#N/A</v>
      </c>
      <c r="Z82" s="2"/>
      <c r="AA82" s="2" t="s">
        <v>116</v>
      </c>
      <c r="AB82" t="s">
        <v>299</v>
      </c>
    </row>
    <row r="83" spans="1:28" ht="18.600000000000001" customHeight="1" x14ac:dyDescent="0.3">
      <c r="A83" s="2">
        <v>109</v>
      </c>
      <c r="B83" s="2" t="s">
        <v>241</v>
      </c>
      <c r="C83" s="2" t="s">
        <v>151</v>
      </c>
      <c r="D83" s="2" t="s">
        <v>24</v>
      </c>
      <c r="E83" s="2" t="s">
        <v>12</v>
      </c>
      <c r="F83" s="2">
        <v>16.47</v>
      </c>
      <c r="G83" s="2">
        <v>1</v>
      </c>
      <c r="H83" s="2">
        <f t="shared" si="15"/>
        <v>16.47</v>
      </c>
      <c r="I83" s="2"/>
      <c r="J83" s="2">
        <v>0</v>
      </c>
      <c r="K83" s="2">
        <f t="shared" si="12"/>
        <v>0</v>
      </c>
      <c r="L83" s="2">
        <f t="shared" si="13"/>
        <v>0</v>
      </c>
      <c r="M83" s="2">
        <f t="shared" si="14"/>
        <v>16.47</v>
      </c>
      <c r="N83" s="2" t="s">
        <v>178</v>
      </c>
      <c r="O83" s="18">
        <v>2994594</v>
      </c>
      <c r="P83" s="2" t="s">
        <v>15</v>
      </c>
      <c r="Q83" s="2">
        <v>4</v>
      </c>
      <c r="R83" s="19">
        <v>44894</v>
      </c>
      <c r="S83" s="19">
        <v>46354</v>
      </c>
      <c r="T83" s="19">
        <v>45868</v>
      </c>
      <c r="U83" s="3">
        <f t="shared" si="9"/>
        <v>486</v>
      </c>
      <c r="V83" s="3" t="str">
        <f t="shared" si="10"/>
        <v>Not Expired</v>
      </c>
      <c r="W83" s="3" t="str">
        <f t="shared" si="11"/>
        <v>Not Expire</v>
      </c>
      <c r="X83" s="3" t="s">
        <v>280</v>
      </c>
      <c r="Y83" s="3" t="str">
        <f>VLOOKUP(O83,[5]Working!$F:$Q,12,0)</f>
        <v>DFIPL Purchase</v>
      </c>
      <c r="Z83" s="2"/>
      <c r="AA83" s="2" t="s">
        <v>116</v>
      </c>
    </row>
    <row r="84" spans="1:28" ht="18.600000000000001" customHeight="1" x14ac:dyDescent="0.3">
      <c r="A84" s="2">
        <v>207</v>
      </c>
      <c r="B84" s="2" t="s">
        <v>241</v>
      </c>
      <c r="C84" s="2" t="s">
        <v>98</v>
      </c>
      <c r="D84" s="2" t="s">
        <v>24</v>
      </c>
      <c r="E84" s="2" t="s">
        <v>12</v>
      </c>
      <c r="F84" s="2">
        <v>18.2</v>
      </c>
      <c r="G84" s="2">
        <v>1</v>
      </c>
      <c r="H84" s="2">
        <f t="shared" si="15"/>
        <v>18.2</v>
      </c>
      <c r="I84" s="2"/>
      <c r="J84" s="2">
        <v>0</v>
      </c>
      <c r="K84" s="2">
        <f t="shared" si="12"/>
        <v>0</v>
      </c>
      <c r="L84" s="2">
        <f t="shared" si="13"/>
        <v>0</v>
      </c>
      <c r="M84" s="2">
        <f t="shared" si="14"/>
        <v>18.2</v>
      </c>
      <c r="N84" s="2" t="s">
        <v>178</v>
      </c>
      <c r="O84" s="18">
        <v>3014769</v>
      </c>
      <c r="P84" s="2" t="s">
        <v>89</v>
      </c>
      <c r="Q84" s="2">
        <v>2</v>
      </c>
      <c r="R84" s="19">
        <v>44916</v>
      </c>
      <c r="S84" s="19">
        <v>46376</v>
      </c>
      <c r="T84" s="19">
        <v>45868</v>
      </c>
      <c r="U84" s="3">
        <f t="shared" si="9"/>
        <v>508</v>
      </c>
      <c r="V84" s="3" t="str">
        <f t="shared" si="10"/>
        <v>Not Expired</v>
      </c>
      <c r="W84" s="3" t="str">
        <f t="shared" si="11"/>
        <v>Not Expire</v>
      </c>
      <c r="X84" s="3" t="s">
        <v>280</v>
      </c>
      <c r="Y84" s="3" t="str">
        <f>VLOOKUP(O84,[5]Working!$F:$Q,12,0)</f>
        <v>DFIPL Purchase</v>
      </c>
      <c r="Z84" s="2"/>
      <c r="AA84" s="2" t="s">
        <v>116</v>
      </c>
    </row>
    <row r="85" spans="1:28" ht="18.600000000000001" hidden="1" customHeight="1" x14ac:dyDescent="0.3">
      <c r="A85" s="2">
        <v>137</v>
      </c>
      <c r="B85" s="2" t="s">
        <v>242</v>
      </c>
      <c r="C85" s="2" t="s">
        <v>67</v>
      </c>
      <c r="D85" s="2" t="s">
        <v>11</v>
      </c>
      <c r="E85" s="2" t="s">
        <v>12</v>
      </c>
      <c r="F85" s="2">
        <v>1.5</v>
      </c>
      <c r="G85" s="2">
        <v>12</v>
      </c>
      <c r="H85" s="2">
        <f t="shared" si="15"/>
        <v>18</v>
      </c>
      <c r="I85" s="27"/>
      <c r="J85" s="27">
        <v>0</v>
      </c>
      <c r="K85" s="2">
        <f t="shared" si="12"/>
        <v>0</v>
      </c>
      <c r="L85" s="2">
        <f t="shared" si="13"/>
        <v>0</v>
      </c>
      <c r="M85" s="2">
        <f t="shared" si="14"/>
        <v>18</v>
      </c>
      <c r="N85" s="2" t="s">
        <v>177</v>
      </c>
      <c r="O85" s="18">
        <v>604120644</v>
      </c>
      <c r="P85" s="2" t="s">
        <v>59</v>
      </c>
      <c r="Q85" s="2">
        <v>1</v>
      </c>
      <c r="R85" s="19">
        <v>45650</v>
      </c>
      <c r="S85" s="19">
        <v>46380</v>
      </c>
      <c r="T85" s="19">
        <v>45868</v>
      </c>
      <c r="U85" s="3">
        <f t="shared" si="9"/>
        <v>512</v>
      </c>
      <c r="V85" s="3" t="str">
        <f t="shared" si="10"/>
        <v>Not Expired</v>
      </c>
      <c r="W85" s="3" t="str">
        <f t="shared" si="11"/>
        <v>Not Expire</v>
      </c>
      <c r="X85" s="3" t="s">
        <v>281</v>
      </c>
      <c r="Y85" s="3" t="e">
        <f>VLOOKUP(O85,[5]Working!$F:$Q,12,0)</f>
        <v>#N/A</v>
      </c>
      <c r="Z85" s="2"/>
      <c r="AA85" s="2" t="s">
        <v>116</v>
      </c>
    </row>
    <row r="86" spans="1:28" s="24" customFormat="1" ht="18.600000000000001" customHeight="1" x14ac:dyDescent="0.3">
      <c r="A86" s="21">
        <v>205</v>
      </c>
      <c r="B86" s="2" t="s">
        <v>243</v>
      </c>
      <c r="C86" s="21" t="s">
        <v>34</v>
      </c>
      <c r="D86" s="21" t="s">
        <v>24</v>
      </c>
      <c r="E86" s="21" t="s">
        <v>12</v>
      </c>
      <c r="F86" s="21">
        <v>18.2</v>
      </c>
      <c r="G86" s="21">
        <v>3</v>
      </c>
      <c r="H86" s="21">
        <f t="shared" si="15"/>
        <v>54.599999999999994</v>
      </c>
      <c r="I86" s="21"/>
      <c r="J86" s="21">
        <v>0</v>
      </c>
      <c r="K86" s="2">
        <f t="shared" si="12"/>
        <v>0</v>
      </c>
      <c r="L86" s="2">
        <f t="shared" si="13"/>
        <v>0</v>
      </c>
      <c r="M86" s="2">
        <f t="shared" si="14"/>
        <v>54.599999999999994</v>
      </c>
      <c r="N86" s="21" t="s">
        <v>177</v>
      </c>
      <c r="O86" s="22">
        <v>3917944</v>
      </c>
      <c r="P86" s="21" t="s">
        <v>89</v>
      </c>
      <c r="Q86" s="21">
        <v>2</v>
      </c>
      <c r="R86" s="23">
        <v>44922</v>
      </c>
      <c r="S86" s="23">
        <v>46382</v>
      </c>
      <c r="T86" s="19">
        <v>45868</v>
      </c>
      <c r="U86" s="3">
        <f t="shared" si="9"/>
        <v>514</v>
      </c>
      <c r="V86" s="3" t="str">
        <f t="shared" si="10"/>
        <v>Not Expired</v>
      </c>
      <c r="W86" s="3" t="str">
        <f t="shared" si="11"/>
        <v>Not Expire</v>
      </c>
      <c r="X86" s="3" t="s">
        <v>280</v>
      </c>
      <c r="Y86" s="3" t="str">
        <f>VLOOKUP(O86,[5]Working!$F:$Q,12,0)</f>
        <v>DFIPL Purchase</v>
      </c>
      <c r="Z86" s="2"/>
      <c r="AA86" s="2" t="s">
        <v>116</v>
      </c>
      <c r="AB86"/>
    </row>
    <row r="87" spans="1:28" ht="18.600000000000001" customHeight="1" x14ac:dyDescent="0.3">
      <c r="A87" s="2">
        <v>111</v>
      </c>
      <c r="B87" s="2" t="s">
        <v>181</v>
      </c>
      <c r="C87" s="13" t="s">
        <v>179</v>
      </c>
      <c r="D87" s="2" t="s">
        <v>11</v>
      </c>
      <c r="E87" s="2" t="s">
        <v>12</v>
      </c>
      <c r="F87" s="2">
        <v>1.8</v>
      </c>
      <c r="G87" s="2">
        <v>1</v>
      </c>
      <c r="H87" s="2">
        <f t="shared" si="15"/>
        <v>1.8</v>
      </c>
      <c r="I87" s="2"/>
      <c r="J87" s="2">
        <v>0</v>
      </c>
      <c r="K87" s="2">
        <f t="shared" si="12"/>
        <v>0</v>
      </c>
      <c r="L87" s="2">
        <f t="shared" si="13"/>
        <v>0</v>
      </c>
      <c r="M87" s="2">
        <f t="shared" si="14"/>
        <v>1.8</v>
      </c>
      <c r="N87" s="2" t="s">
        <v>178</v>
      </c>
      <c r="O87" s="13">
        <v>3019219</v>
      </c>
      <c r="P87" s="2" t="s">
        <v>15</v>
      </c>
      <c r="Q87" s="2">
        <v>4</v>
      </c>
      <c r="R87" s="19">
        <v>44923</v>
      </c>
      <c r="S87" s="19">
        <v>46383</v>
      </c>
      <c r="T87" s="19">
        <v>45868</v>
      </c>
      <c r="U87" s="3">
        <f t="shared" si="9"/>
        <v>515</v>
      </c>
      <c r="V87" s="3" t="str">
        <f t="shared" si="10"/>
        <v>Not Expired</v>
      </c>
      <c r="W87" s="3" t="str">
        <f t="shared" si="11"/>
        <v>Not Expire</v>
      </c>
      <c r="X87" s="3" t="s">
        <v>280</v>
      </c>
      <c r="Y87" s="3" t="str">
        <f>VLOOKUP(O87,[5]Working!$F:$Q,12,0)</f>
        <v>DFIPL Purchase</v>
      </c>
      <c r="Z87" s="2"/>
      <c r="AA87" s="2" t="s">
        <v>116</v>
      </c>
    </row>
    <row r="88" spans="1:28" ht="18.600000000000001" customHeight="1" x14ac:dyDescent="0.3">
      <c r="A88" s="2">
        <v>187</v>
      </c>
      <c r="B88" s="2" t="s">
        <v>235</v>
      </c>
      <c r="C88" s="2" t="s">
        <v>76</v>
      </c>
      <c r="D88" s="2" t="s">
        <v>11</v>
      </c>
      <c r="E88" s="2" t="s">
        <v>12</v>
      </c>
      <c r="F88" s="2">
        <v>1.8</v>
      </c>
      <c r="G88" s="2">
        <v>3</v>
      </c>
      <c r="H88" s="2">
        <f t="shared" si="15"/>
        <v>5.4</v>
      </c>
      <c r="I88" s="2"/>
      <c r="J88" s="2">
        <v>0</v>
      </c>
      <c r="K88" s="2">
        <f t="shared" si="12"/>
        <v>0</v>
      </c>
      <c r="L88" s="2">
        <f t="shared" si="13"/>
        <v>0</v>
      </c>
      <c r="M88" s="2">
        <f t="shared" si="14"/>
        <v>5.4</v>
      </c>
      <c r="N88" s="2" t="s">
        <v>178</v>
      </c>
      <c r="O88" s="18">
        <v>3021816</v>
      </c>
      <c r="P88" s="2" t="s">
        <v>89</v>
      </c>
      <c r="Q88" s="2">
        <v>2</v>
      </c>
      <c r="R88" s="19">
        <v>44925</v>
      </c>
      <c r="S88" s="19">
        <v>46385</v>
      </c>
      <c r="T88" s="19">
        <v>45868</v>
      </c>
      <c r="U88" s="3">
        <f t="shared" si="9"/>
        <v>517</v>
      </c>
      <c r="V88" s="3" t="str">
        <f t="shared" si="10"/>
        <v>Not Expired</v>
      </c>
      <c r="W88" s="3" t="str">
        <f t="shared" si="11"/>
        <v>Not Expire</v>
      </c>
      <c r="X88" s="3" t="s">
        <v>280</v>
      </c>
      <c r="Y88" s="3" t="str">
        <f>VLOOKUP(O88,[5]Working!$F:$Q,12,0)</f>
        <v>DFIPL Purchase</v>
      </c>
      <c r="Z88" s="2"/>
      <c r="AA88" s="2" t="s">
        <v>116</v>
      </c>
    </row>
    <row r="89" spans="1:28" ht="18.600000000000001" customHeight="1" x14ac:dyDescent="0.3">
      <c r="A89" s="2">
        <v>175</v>
      </c>
      <c r="B89" s="2" t="s">
        <v>209</v>
      </c>
      <c r="C89" s="2" t="s">
        <v>29</v>
      </c>
      <c r="D89" s="2" t="s">
        <v>24</v>
      </c>
      <c r="E89" s="2" t="s">
        <v>12</v>
      </c>
      <c r="F89" s="2">
        <v>16</v>
      </c>
      <c r="G89" s="2">
        <v>20</v>
      </c>
      <c r="H89" s="2">
        <f t="shared" si="15"/>
        <v>320</v>
      </c>
      <c r="I89" s="2">
        <f>10+10</f>
        <v>20</v>
      </c>
      <c r="J89" s="2">
        <v>0</v>
      </c>
      <c r="K89" s="2">
        <f t="shared" si="12"/>
        <v>320</v>
      </c>
      <c r="L89" s="2">
        <f t="shared" si="13"/>
        <v>320</v>
      </c>
      <c r="M89" s="2">
        <f t="shared" si="14"/>
        <v>0</v>
      </c>
      <c r="N89" s="2" t="s">
        <v>178</v>
      </c>
      <c r="O89" s="18">
        <v>3785011</v>
      </c>
      <c r="P89" s="2" t="s">
        <v>89</v>
      </c>
      <c r="Q89" s="2">
        <v>2</v>
      </c>
      <c r="R89" s="19">
        <v>45660</v>
      </c>
      <c r="S89" s="19">
        <v>46390</v>
      </c>
      <c r="T89" s="19">
        <v>45868</v>
      </c>
      <c r="U89" s="3">
        <f t="shared" si="9"/>
        <v>522</v>
      </c>
      <c r="V89" s="3" t="str">
        <f t="shared" si="10"/>
        <v>Not Expired</v>
      </c>
      <c r="W89" s="3" t="str">
        <f t="shared" si="11"/>
        <v>Not Expire</v>
      </c>
      <c r="X89" s="3" t="s">
        <v>280</v>
      </c>
      <c r="Y89" s="3" t="str">
        <f>VLOOKUP(O89,[5]Working!$F:$Q,12,0)</f>
        <v>DFIPL Purchase</v>
      </c>
      <c r="Z89" s="2"/>
      <c r="AA89" s="2" t="s">
        <v>116</v>
      </c>
      <c r="AB89" t="s">
        <v>304</v>
      </c>
    </row>
    <row r="90" spans="1:28" ht="18.600000000000001" customHeight="1" x14ac:dyDescent="0.3">
      <c r="A90" s="2">
        <v>178</v>
      </c>
      <c r="B90" s="2" t="s">
        <v>198</v>
      </c>
      <c r="C90" s="2" t="s">
        <v>22</v>
      </c>
      <c r="D90" s="2" t="s">
        <v>11</v>
      </c>
      <c r="E90" s="2" t="s">
        <v>12</v>
      </c>
      <c r="F90" s="2">
        <v>4</v>
      </c>
      <c r="G90" s="2">
        <v>30</v>
      </c>
      <c r="H90" s="2">
        <f t="shared" si="15"/>
        <v>120</v>
      </c>
      <c r="I90" s="2">
        <f>1+14</f>
        <v>15</v>
      </c>
      <c r="J90" s="2">
        <v>0</v>
      </c>
      <c r="K90" s="2">
        <f t="shared" si="12"/>
        <v>60</v>
      </c>
      <c r="L90" s="2">
        <f t="shared" si="13"/>
        <v>60</v>
      </c>
      <c r="M90" s="2">
        <f t="shared" si="14"/>
        <v>60</v>
      </c>
      <c r="N90" s="2" t="s">
        <v>178</v>
      </c>
      <c r="O90" s="18">
        <v>3785028</v>
      </c>
      <c r="P90" s="2" t="s">
        <v>89</v>
      </c>
      <c r="Q90" s="2">
        <v>2</v>
      </c>
      <c r="R90" s="19">
        <v>45660</v>
      </c>
      <c r="S90" s="19">
        <v>46390</v>
      </c>
      <c r="T90" s="19">
        <v>45868</v>
      </c>
      <c r="U90" s="3">
        <f t="shared" si="9"/>
        <v>522</v>
      </c>
      <c r="V90" s="3" t="str">
        <f t="shared" si="10"/>
        <v>Not Expired</v>
      </c>
      <c r="W90" s="3" t="str">
        <f t="shared" si="11"/>
        <v>Not Expire</v>
      </c>
      <c r="X90" s="3" t="s">
        <v>280</v>
      </c>
      <c r="Y90" s="3" t="str">
        <f>VLOOKUP(O90,[5]Working!$F:$Q,12,0)</f>
        <v>DFIPL Purchase</v>
      </c>
      <c r="Z90" s="2"/>
      <c r="AA90" s="2" t="s">
        <v>116</v>
      </c>
      <c r="AB90" t="s">
        <v>304</v>
      </c>
    </row>
    <row r="91" spans="1:28" ht="18.600000000000001" hidden="1" customHeight="1" x14ac:dyDescent="0.3">
      <c r="A91" s="2">
        <v>181</v>
      </c>
      <c r="B91" s="2" t="s">
        <v>198</v>
      </c>
      <c r="C91" s="2" t="s">
        <v>22</v>
      </c>
      <c r="D91" s="2" t="s">
        <v>11</v>
      </c>
      <c r="E91" s="2" t="s">
        <v>12</v>
      </c>
      <c r="F91" s="2">
        <v>16</v>
      </c>
      <c r="G91" s="2">
        <v>2</v>
      </c>
      <c r="H91" s="2">
        <f t="shared" si="15"/>
        <v>32</v>
      </c>
      <c r="I91" s="2"/>
      <c r="J91" s="2">
        <v>0</v>
      </c>
      <c r="K91" s="2">
        <f t="shared" si="12"/>
        <v>0</v>
      </c>
      <c r="L91" s="2">
        <f t="shared" si="13"/>
        <v>0</v>
      </c>
      <c r="M91" s="2">
        <f t="shared" si="14"/>
        <v>32</v>
      </c>
      <c r="N91" s="2" t="s">
        <v>178</v>
      </c>
      <c r="O91" s="18">
        <v>3785028</v>
      </c>
      <c r="P91" s="2" t="s">
        <v>90</v>
      </c>
      <c r="Q91" s="2">
        <v>2</v>
      </c>
      <c r="R91" s="19">
        <v>45660</v>
      </c>
      <c r="S91" s="19">
        <v>46390</v>
      </c>
      <c r="T91" s="19">
        <v>45868</v>
      </c>
      <c r="U91" s="3">
        <f t="shared" si="9"/>
        <v>522</v>
      </c>
      <c r="V91" s="3" t="str">
        <f t="shared" si="10"/>
        <v>Not Expired</v>
      </c>
      <c r="W91" s="3" t="str">
        <f t="shared" si="11"/>
        <v>Not Expire</v>
      </c>
      <c r="X91" s="3" t="s">
        <v>281</v>
      </c>
      <c r="Y91" s="3"/>
      <c r="Z91" s="2"/>
      <c r="AA91" s="2" t="s">
        <v>116</v>
      </c>
    </row>
    <row r="92" spans="1:28" ht="18.600000000000001" customHeight="1" x14ac:dyDescent="0.3">
      <c r="A92" s="2">
        <v>158</v>
      </c>
      <c r="B92" s="2" t="s">
        <v>183</v>
      </c>
      <c r="C92" s="2" t="s">
        <v>91</v>
      </c>
      <c r="D92" s="2" t="s">
        <v>24</v>
      </c>
      <c r="E92" s="2" t="s">
        <v>12</v>
      </c>
      <c r="F92" s="2">
        <v>16</v>
      </c>
      <c r="G92" s="2">
        <v>23</v>
      </c>
      <c r="H92" s="2">
        <f t="shared" si="15"/>
        <v>368</v>
      </c>
      <c r="I92" s="2">
        <v>4</v>
      </c>
      <c r="J92" s="2">
        <v>0</v>
      </c>
      <c r="K92" s="2">
        <f t="shared" si="12"/>
        <v>64</v>
      </c>
      <c r="L92" s="2">
        <f t="shared" si="13"/>
        <v>64</v>
      </c>
      <c r="M92" s="2">
        <f t="shared" si="14"/>
        <v>304</v>
      </c>
      <c r="N92" s="2" t="s">
        <v>178</v>
      </c>
      <c r="O92" s="18">
        <v>3791386</v>
      </c>
      <c r="P92" s="2" t="s">
        <v>89</v>
      </c>
      <c r="Q92" s="2">
        <v>2</v>
      </c>
      <c r="R92" s="19">
        <v>45666</v>
      </c>
      <c r="S92" s="19">
        <v>46396</v>
      </c>
      <c r="T92" s="19">
        <v>45868</v>
      </c>
      <c r="U92" s="3">
        <f t="shared" si="9"/>
        <v>528</v>
      </c>
      <c r="V92" s="3" t="str">
        <f t="shared" si="10"/>
        <v>Not Expired</v>
      </c>
      <c r="W92" s="3" t="str">
        <f t="shared" si="11"/>
        <v>Not Expire</v>
      </c>
      <c r="X92" s="3" t="s">
        <v>280</v>
      </c>
      <c r="Y92" s="3" t="str">
        <f>VLOOKUP(O92,[5]Working!$F:$Q,12,0)</f>
        <v>DFIPL Purchase</v>
      </c>
      <c r="Z92" s="2"/>
      <c r="AA92" s="2" t="s">
        <v>116</v>
      </c>
      <c r="AB92" t="s">
        <v>305</v>
      </c>
    </row>
    <row r="93" spans="1:28" ht="18.600000000000001" customHeight="1" x14ac:dyDescent="0.3">
      <c r="A93" s="2">
        <v>172</v>
      </c>
      <c r="B93" s="2" t="s">
        <v>209</v>
      </c>
      <c r="C93" s="2" t="s">
        <v>29</v>
      </c>
      <c r="D93" s="2" t="s">
        <v>24</v>
      </c>
      <c r="E93" s="2" t="s">
        <v>12</v>
      </c>
      <c r="F93" s="2">
        <v>16</v>
      </c>
      <c r="G93" s="2">
        <v>11</v>
      </c>
      <c r="H93" s="2">
        <f t="shared" si="15"/>
        <v>176</v>
      </c>
      <c r="I93" s="2">
        <v>4</v>
      </c>
      <c r="J93" s="2">
        <v>0</v>
      </c>
      <c r="K93" s="2">
        <f t="shared" si="12"/>
        <v>64</v>
      </c>
      <c r="L93" s="2">
        <f t="shared" si="13"/>
        <v>64</v>
      </c>
      <c r="M93" s="2">
        <f t="shared" si="14"/>
        <v>112</v>
      </c>
      <c r="N93" s="2" t="s">
        <v>178</v>
      </c>
      <c r="O93" s="18">
        <v>3794353</v>
      </c>
      <c r="P93" s="2" t="s">
        <v>89</v>
      </c>
      <c r="Q93" s="2">
        <v>2</v>
      </c>
      <c r="R93" s="19">
        <v>45668</v>
      </c>
      <c r="S93" s="19">
        <v>46398</v>
      </c>
      <c r="T93" s="19">
        <v>45868</v>
      </c>
      <c r="U93" s="3">
        <f t="shared" si="9"/>
        <v>530</v>
      </c>
      <c r="V93" s="3" t="str">
        <f t="shared" si="10"/>
        <v>Not Expired</v>
      </c>
      <c r="W93" s="3" t="str">
        <f t="shared" si="11"/>
        <v>Not Expire</v>
      </c>
      <c r="X93" s="3" t="s">
        <v>280</v>
      </c>
      <c r="Y93" s="3" t="str">
        <f>VLOOKUP(O93,[5]Working!$F:$Q,12,0)</f>
        <v>DFIPL Purchase</v>
      </c>
      <c r="Z93" s="2"/>
      <c r="AA93" s="2" t="s">
        <v>116</v>
      </c>
      <c r="AB93" t="s">
        <v>305</v>
      </c>
    </row>
    <row r="94" spans="1:28" ht="18.600000000000001" customHeight="1" x14ac:dyDescent="0.3">
      <c r="A94" s="27">
        <v>147</v>
      </c>
      <c r="B94" s="2" t="s">
        <v>188</v>
      </c>
      <c r="C94" s="13" t="s">
        <v>189</v>
      </c>
      <c r="D94" s="2" t="s">
        <v>11</v>
      </c>
      <c r="E94" s="2" t="s">
        <v>12</v>
      </c>
      <c r="F94" s="2">
        <v>1.25</v>
      </c>
      <c r="G94" s="2">
        <v>15</v>
      </c>
      <c r="H94" s="2">
        <f t="shared" si="15"/>
        <v>18.75</v>
      </c>
      <c r="I94" s="2">
        <f>1+1+1</f>
        <v>3</v>
      </c>
      <c r="J94" s="2">
        <v>0</v>
      </c>
      <c r="K94" s="2">
        <f t="shared" si="12"/>
        <v>3.75</v>
      </c>
      <c r="L94" s="2">
        <f t="shared" si="13"/>
        <v>3.75</v>
      </c>
      <c r="M94" s="2">
        <f t="shared" si="14"/>
        <v>15</v>
      </c>
      <c r="N94" s="2" t="s">
        <v>177</v>
      </c>
      <c r="O94" s="18">
        <v>3794316</v>
      </c>
      <c r="P94" s="2" t="s">
        <v>26</v>
      </c>
      <c r="Q94" s="2">
        <v>1</v>
      </c>
      <c r="R94" s="19">
        <v>45668</v>
      </c>
      <c r="S94" s="19">
        <v>46398</v>
      </c>
      <c r="T94" s="19">
        <v>45868</v>
      </c>
      <c r="U94" s="3">
        <f t="shared" si="9"/>
        <v>530</v>
      </c>
      <c r="V94" s="3" t="str">
        <f t="shared" si="10"/>
        <v>Not Expired</v>
      </c>
      <c r="W94" s="3" t="str">
        <f t="shared" si="11"/>
        <v>Not Expire</v>
      </c>
      <c r="X94" s="3" t="s">
        <v>280</v>
      </c>
      <c r="Y94" s="3" t="str">
        <f>VLOOKUP(O94,[5]Working!$F:$Q,12,0)</f>
        <v>DFIPL Purchase</v>
      </c>
      <c r="Z94" s="2"/>
      <c r="AA94" s="2" t="s">
        <v>116</v>
      </c>
      <c r="AB94" t="s">
        <v>314</v>
      </c>
    </row>
    <row r="95" spans="1:28" ht="18.600000000000001" hidden="1" customHeight="1" x14ac:dyDescent="0.3">
      <c r="A95" s="2">
        <v>83</v>
      </c>
      <c r="B95" s="2" t="s">
        <v>244</v>
      </c>
      <c r="C95" s="2" t="s">
        <v>67</v>
      </c>
      <c r="D95" s="2" t="s">
        <v>11</v>
      </c>
      <c r="E95" s="2" t="s">
        <v>12</v>
      </c>
      <c r="F95" s="2">
        <v>1.5</v>
      </c>
      <c r="G95" s="2">
        <v>49</v>
      </c>
      <c r="H95" s="2">
        <f t="shared" si="15"/>
        <v>73.5</v>
      </c>
      <c r="I95" s="27">
        <v>3</v>
      </c>
      <c r="J95" s="27">
        <v>0</v>
      </c>
      <c r="K95" s="2">
        <f t="shared" si="12"/>
        <v>4.5</v>
      </c>
      <c r="L95" s="2">
        <f t="shared" si="13"/>
        <v>4.5</v>
      </c>
      <c r="M95" s="2">
        <f t="shared" si="14"/>
        <v>69</v>
      </c>
      <c r="N95" s="2" t="s">
        <v>177</v>
      </c>
      <c r="O95" s="18">
        <v>75015129</v>
      </c>
      <c r="P95" s="2" t="s">
        <v>59</v>
      </c>
      <c r="Q95" s="2">
        <v>1</v>
      </c>
      <c r="R95" s="19">
        <v>45670</v>
      </c>
      <c r="S95" s="19">
        <v>46400</v>
      </c>
      <c r="T95" s="19">
        <v>45868</v>
      </c>
      <c r="U95" s="3">
        <f t="shared" si="9"/>
        <v>532</v>
      </c>
      <c r="V95" s="3" t="str">
        <f t="shared" si="10"/>
        <v>Not Expired</v>
      </c>
      <c r="W95" s="3" t="str">
        <f t="shared" si="11"/>
        <v>Not Expire</v>
      </c>
      <c r="X95" s="3" t="s">
        <v>281</v>
      </c>
      <c r="Y95" s="3" t="e">
        <f>VLOOKUP(O95,[5]Working!$F:$Q,12,0)</f>
        <v>#N/A</v>
      </c>
      <c r="Z95" s="2"/>
      <c r="AA95" s="2" t="s">
        <v>116</v>
      </c>
      <c r="AB95" s="31" t="s">
        <v>297</v>
      </c>
    </row>
    <row r="96" spans="1:28" ht="18.600000000000001" customHeight="1" x14ac:dyDescent="0.3">
      <c r="A96" s="27">
        <v>140</v>
      </c>
      <c r="B96" s="2" t="s">
        <v>209</v>
      </c>
      <c r="C96" s="2" t="s">
        <v>29</v>
      </c>
      <c r="D96" s="2" t="s">
        <v>24</v>
      </c>
      <c r="E96" s="2" t="s">
        <v>12</v>
      </c>
      <c r="F96" s="2">
        <v>16</v>
      </c>
      <c r="G96" s="18">
        <f>2-2</f>
        <v>0</v>
      </c>
      <c r="H96" s="18">
        <f t="shared" si="15"/>
        <v>0</v>
      </c>
      <c r="I96" s="18"/>
      <c r="J96" s="18">
        <v>0</v>
      </c>
      <c r="K96" s="2">
        <f t="shared" si="12"/>
        <v>0</v>
      </c>
      <c r="L96" s="2">
        <f t="shared" si="13"/>
        <v>0</v>
      </c>
      <c r="M96" s="2">
        <f t="shared" si="14"/>
        <v>0</v>
      </c>
      <c r="N96" s="18" t="s">
        <v>177</v>
      </c>
      <c r="O96" s="18">
        <v>3813700</v>
      </c>
      <c r="P96" s="33" t="s">
        <v>26</v>
      </c>
      <c r="Q96" s="2">
        <v>1</v>
      </c>
      <c r="R96" s="19">
        <v>45688</v>
      </c>
      <c r="S96" s="19">
        <v>46418</v>
      </c>
      <c r="T96" s="19">
        <v>45868</v>
      </c>
      <c r="U96" s="3">
        <f t="shared" si="9"/>
        <v>550</v>
      </c>
      <c r="V96" s="3" t="str">
        <f t="shared" si="10"/>
        <v>Not Expired</v>
      </c>
      <c r="W96" s="3" t="str">
        <f t="shared" si="11"/>
        <v>Not Expire</v>
      </c>
      <c r="X96" s="3" t="s">
        <v>280</v>
      </c>
      <c r="Y96" s="3" t="str">
        <f>VLOOKUP(O96,[5]Working!$F:$Q,12,0)</f>
        <v>DFIPL Purchase</v>
      </c>
      <c r="Z96" s="2"/>
      <c r="AA96" s="2" t="s">
        <v>116</v>
      </c>
    </row>
    <row r="97" spans="1:28" ht="18.600000000000001" customHeight="1" x14ac:dyDescent="0.3">
      <c r="A97" s="18">
        <v>18</v>
      </c>
      <c r="B97" s="2" t="s">
        <v>209</v>
      </c>
      <c r="C97" s="33" t="s">
        <v>29</v>
      </c>
      <c r="D97" s="33" t="s">
        <v>24</v>
      </c>
      <c r="E97" s="33" t="s">
        <v>12</v>
      </c>
      <c r="F97" s="18">
        <v>16</v>
      </c>
      <c r="G97" s="18">
        <f>35-11-13-10</f>
        <v>1</v>
      </c>
      <c r="H97" s="18">
        <f t="shared" si="15"/>
        <v>16</v>
      </c>
      <c r="I97" s="18">
        <v>1</v>
      </c>
      <c r="J97" s="18">
        <v>0</v>
      </c>
      <c r="K97" s="2">
        <f t="shared" si="12"/>
        <v>16</v>
      </c>
      <c r="L97" s="2">
        <f t="shared" si="13"/>
        <v>16</v>
      </c>
      <c r="M97" s="2">
        <f t="shared" si="14"/>
        <v>0</v>
      </c>
      <c r="N97" s="18" t="s">
        <v>177</v>
      </c>
      <c r="O97" s="18">
        <v>3828209</v>
      </c>
      <c r="P97" s="33" t="s">
        <v>19</v>
      </c>
      <c r="Q97" s="18">
        <v>3</v>
      </c>
      <c r="R97" s="34">
        <v>45703</v>
      </c>
      <c r="S97" s="34">
        <v>46433</v>
      </c>
      <c r="T97" s="19">
        <v>45868</v>
      </c>
      <c r="U97" s="42">
        <f t="shared" si="9"/>
        <v>565</v>
      </c>
      <c r="V97" s="35" t="str">
        <f t="shared" si="10"/>
        <v>Not Expired</v>
      </c>
      <c r="W97" s="35" t="str">
        <f t="shared" si="11"/>
        <v>Not Expire</v>
      </c>
      <c r="X97" s="3" t="s">
        <v>280</v>
      </c>
      <c r="Y97" s="3" t="str">
        <f>VLOOKUP(O97,[5]Working!$F:$Q,12,0)</f>
        <v>DFIPL Purchase</v>
      </c>
      <c r="Z97" s="2"/>
      <c r="AA97" s="2" t="s">
        <v>116</v>
      </c>
      <c r="AB97" s="31" t="s">
        <v>307</v>
      </c>
    </row>
    <row r="98" spans="1:28" ht="18.600000000000001" customHeight="1" x14ac:dyDescent="0.3">
      <c r="A98" s="2">
        <v>38</v>
      </c>
      <c r="B98" s="2" t="s">
        <v>198</v>
      </c>
      <c r="C98" s="2" t="s">
        <v>22</v>
      </c>
      <c r="D98" s="2" t="s">
        <v>11</v>
      </c>
      <c r="E98" s="2" t="s">
        <v>12</v>
      </c>
      <c r="F98" s="2">
        <v>4</v>
      </c>
      <c r="G98" s="2">
        <v>1</v>
      </c>
      <c r="H98" s="2">
        <f t="shared" si="15"/>
        <v>4</v>
      </c>
      <c r="I98" s="2"/>
      <c r="J98" s="2">
        <v>0</v>
      </c>
      <c r="K98" s="2">
        <f t="shared" si="12"/>
        <v>0</v>
      </c>
      <c r="L98" s="2">
        <f t="shared" si="13"/>
        <v>0</v>
      </c>
      <c r="M98" s="2">
        <f t="shared" si="14"/>
        <v>4</v>
      </c>
      <c r="N98" s="2" t="s">
        <v>177</v>
      </c>
      <c r="O98" s="18">
        <v>3828327</v>
      </c>
      <c r="P98" s="2" t="s">
        <v>15</v>
      </c>
      <c r="Q98" s="2">
        <v>4</v>
      </c>
      <c r="R98" s="19">
        <v>45703</v>
      </c>
      <c r="S98" s="19">
        <v>46433</v>
      </c>
      <c r="T98" s="19">
        <v>45868</v>
      </c>
      <c r="U98" s="3">
        <f t="shared" si="9"/>
        <v>565</v>
      </c>
      <c r="V98" s="3" t="str">
        <f t="shared" si="10"/>
        <v>Not Expired</v>
      </c>
      <c r="W98" s="3" t="str">
        <f t="shared" si="11"/>
        <v>Not Expire</v>
      </c>
      <c r="X98" s="3" t="s">
        <v>280</v>
      </c>
      <c r="Y98" s="3" t="str">
        <f>VLOOKUP(O98,[5]Working!$F:$Q,12,0)</f>
        <v>DFIPL Purchase</v>
      </c>
      <c r="Z98" s="2"/>
      <c r="AA98" s="2" t="s">
        <v>116</v>
      </c>
    </row>
    <row r="99" spans="1:28" ht="18.600000000000001" customHeight="1" x14ac:dyDescent="0.3">
      <c r="A99" s="27">
        <v>139</v>
      </c>
      <c r="B99" s="2" t="s">
        <v>209</v>
      </c>
      <c r="C99" s="2" t="s">
        <v>29</v>
      </c>
      <c r="D99" s="2" t="s">
        <v>24</v>
      </c>
      <c r="E99" s="2" t="s">
        <v>12</v>
      </c>
      <c r="F99" s="2">
        <v>16</v>
      </c>
      <c r="G99" s="18">
        <f>3-3</f>
        <v>0</v>
      </c>
      <c r="H99" s="18">
        <f t="shared" si="15"/>
        <v>0</v>
      </c>
      <c r="I99" s="18"/>
      <c r="J99" s="18">
        <v>0</v>
      </c>
      <c r="K99" s="2">
        <f t="shared" si="12"/>
        <v>0</v>
      </c>
      <c r="L99" s="2">
        <f t="shared" si="13"/>
        <v>0</v>
      </c>
      <c r="M99" s="2">
        <f t="shared" si="14"/>
        <v>0</v>
      </c>
      <c r="N99" s="18" t="s">
        <v>177</v>
      </c>
      <c r="O99" s="18">
        <v>3827803</v>
      </c>
      <c r="P99" s="33" t="s">
        <v>26</v>
      </c>
      <c r="Q99" s="2">
        <v>1</v>
      </c>
      <c r="R99" s="19">
        <v>45703</v>
      </c>
      <c r="S99" s="19">
        <v>46433</v>
      </c>
      <c r="T99" s="19">
        <v>45868</v>
      </c>
      <c r="U99" s="3">
        <f t="shared" si="9"/>
        <v>565</v>
      </c>
      <c r="V99" s="3" t="str">
        <f t="shared" si="10"/>
        <v>Not Expired</v>
      </c>
      <c r="W99" s="3" t="str">
        <f t="shared" si="11"/>
        <v>Not Expire</v>
      </c>
      <c r="X99" s="3" t="s">
        <v>280</v>
      </c>
      <c r="Y99" s="3" t="str">
        <f>VLOOKUP(O99,[5]Working!$F:$Q,12,0)</f>
        <v>DFIPL Purchase</v>
      </c>
      <c r="Z99" s="2"/>
      <c r="AA99" s="2" t="s">
        <v>116</v>
      </c>
    </row>
    <row r="100" spans="1:28" ht="18.600000000000001" customHeight="1" x14ac:dyDescent="0.3">
      <c r="A100" s="27">
        <v>141</v>
      </c>
      <c r="B100" s="2" t="s">
        <v>209</v>
      </c>
      <c r="C100" s="2" t="s">
        <v>29</v>
      </c>
      <c r="D100" s="2" t="s">
        <v>24</v>
      </c>
      <c r="E100" s="2" t="s">
        <v>12</v>
      </c>
      <c r="F100" s="2">
        <v>16</v>
      </c>
      <c r="G100" s="18">
        <v>1</v>
      </c>
      <c r="H100" s="18">
        <f t="shared" si="15"/>
        <v>16</v>
      </c>
      <c r="I100" s="18">
        <v>1</v>
      </c>
      <c r="J100" s="18">
        <v>16</v>
      </c>
      <c r="K100" s="2">
        <f t="shared" si="12"/>
        <v>16</v>
      </c>
      <c r="L100" s="2">
        <f t="shared" si="13"/>
        <v>0</v>
      </c>
      <c r="M100" s="2">
        <f t="shared" si="14"/>
        <v>0</v>
      </c>
      <c r="N100" s="18" t="s">
        <v>177</v>
      </c>
      <c r="O100" s="18">
        <v>3828209</v>
      </c>
      <c r="P100" s="33" t="s">
        <v>26</v>
      </c>
      <c r="Q100" s="2">
        <v>1</v>
      </c>
      <c r="R100" s="19">
        <v>45703</v>
      </c>
      <c r="S100" s="19">
        <v>46433</v>
      </c>
      <c r="T100" s="19">
        <v>45868</v>
      </c>
      <c r="U100" s="3">
        <f t="shared" si="9"/>
        <v>565</v>
      </c>
      <c r="V100" s="3" t="str">
        <f t="shared" si="10"/>
        <v>Not Expired</v>
      </c>
      <c r="W100" s="3" t="str">
        <f t="shared" si="11"/>
        <v>Not Expire</v>
      </c>
      <c r="X100" s="3" t="s">
        <v>280</v>
      </c>
      <c r="Y100" s="3" t="str">
        <f>VLOOKUP(O100,[5]Working!$F:$Q,12,0)</f>
        <v>DFIPL Purchase</v>
      </c>
      <c r="Z100" s="2"/>
      <c r="AA100" s="2" t="s">
        <v>116</v>
      </c>
    </row>
    <row r="101" spans="1:28" ht="18.600000000000001" customHeight="1" x14ac:dyDescent="0.3">
      <c r="A101" s="27">
        <v>116</v>
      </c>
      <c r="B101" s="2" t="s">
        <v>245</v>
      </c>
      <c r="C101" s="2" t="s">
        <v>28</v>
      </c>
      <c r="D101" s="2" t="s">
        <v>24</v>
      </c>
      <c r="E101" s="2" t="s">
        <v>12</v>
      </c>
      <c r="F101" s="2">
        <v>4.17</v>
      </c>
      <c r="G101" s="2">
        <v>1</v>
      </c>
      <c r="H101" s="2">
        <f t="shared" si="15"/>
        <v>4.17</v>
      </c>
      <c r="I101" s="2"/>
      <c r="J101" s="2">
        <v>0</v>
      </c>
      <c r="K101" s="2">
        <f t="shared" si="12"/>
        <v>0</v>
      </c>
      <c r="L101" s="2">
        <f t="shared" si="13"/>
        <v>0</v>
      </c>
      <c r="M101" s="2">
        <f t="shared" si="14"/>
        <v>4.17</v>
      </c>
      <c r="N101" s="2" t="s">
        <v>177</v>
      </c>
      <c r="O101" s="18">
        <v>3069140</v>
      </c>
      <c r="P101" s="2" t="s">
        <v>26</v>
      </c>
      <c r="Q101" s="2">
        <v>1</v>
      </c>
      <c r="R101" s="19">
        <v>44980</v>
      </c>
      <c r="S101" s="19">
        <v>46440</v>
      </c>
      <c r="T101" s="19">
        <v>45868</v>
      </c>
      <c r="U101" s="3">
        <f t="shared" si="9"/>
        <v>572</v>
      </c>
      <c r="V101" s="3" t="str">
        <f t="shared" si="10"/>
        <v>Not Expired</v>
      </c>
      <c r="W101" s="3" t="str">
        <f t="shared" si="11"/>
        <v>Not Expire</v>
      </c>
      <c r="X101" s="3" t="s">
        <v>280</v>
      </c>
      <c r="Y101" s="3" t="str">
        <f>VLOOKUP(O101,[5]Working!$F:$Q,12,0)</f>
        <v>DFIPL Purchase</v>
      </c>
      <c r="Z101" s="2" t="s">
        <v>77</v>
      </c>
      <c r="AA101" s="2" t="s">
        <v>117</v>
      </c>
    </row>
    <row r="102" spans="1:28" ht="18.600000000000001" customHeight="1" x14ac:dyDescent="0.3">
      <c r="A102" s="2">
        <v>113</v>
      </c>
      <c r="B102" s="2" t="s">
        <v>246</v>
      </c>
      <c r="C102" s="2" t="s">
        <v>20</v>
      </c>
      <c r="D102" s="2" t="s">
        <v>11</v>
      </c>
      <c r="E102" s="2" t="s">
        <v>12</v>
      </c>
      <c r="F102" s="2">
        <v>0.83</v>
      </c>
      <c r="G102" s="2">
        <v>1</v>
      </c>
      <c r="H102" s="2">
        <f t="shared" si="15"/>
        <v>0.83</v>
      </c>
      <c r="I102" s="2"/>
      <c r="J102" s="2">
        <v>0</v>
      </c>
      <c r="K102" s="2">
        <f t="shared" si="12"/>
        <v>0</v>
      </c>
      <c r="L102" s="2">
        <f t="shared" si="13"/>
        <v>0</v>
      </c>
      <c r="M102" s="2">
        <f t="shared" si="14"/>
        <v>0.83</v>
      </c>
      <c r="N102" s="2" t="s">
        <v>177</v>
      </c>
      <c r="O102" s="18">
        <v>3070505</v>
      </c>
      <c r="P102" s="2" t="s">
        <v>15</v>
      </c>
      <c r="Q102" s="2">
        <v>4</v>
      </c>
      <c r="R102" s="19">
        <v>44981</v>
      </c>
      <c r="S102" s="19">
        <v>46441</v>
      </c>
      <c r="T102" s="19">
        <v>45868</v>
      </c>
      <c r="U102" s="3">
        <f t="shared" si="9"/>
        <v>573</v>
      </c>
      <c r="V102" s="3" t="str">
        <f t="shared" si="10"/>
        <v>Not Expired</v>
      </c>
      <c r="W102" s="3" t="str">
        <f t="shared" si="11"/>
        <v>Not Expire</v>
      </c>
      <c r="X102" s="3" t="s">
        <v>280</v>
      </c>
      <c r="Y102" s="3" t="str">
        <f>VLOOKUP(O102,[5]Working!$F:$Q,12,0)</f>
        <v>DFIPL Purchase</v>
      </c>
      <c r="Z102" s="2"/>
      <c r="AA102" s="2" t="s">
        <v>116</v>
      </c>
    </row>
    <row r="103" spans="1:28" ht="18.600000000000001" customHeight="1" x14ac:dyDescent="0.3">
      <c r="A103" s="18">
        <v>120</v>
      </c>
      <c r="B103" s="2" t="s">
        <v>247</v>
      </c>
      <c r="C103" s="36" t="s">
        <v>80</v>
      </c>
      <c r="D103" s="36" t="s">
        <v>24</v>
      </c>
      <c r="E103" s="36" t="s">
        <v>12</v>
      </c>
      <c r="F103" s="36">
        <v>16</v>
      </c>
      <c r="G103" s="36">
        <v>55</v>
      </c>
      <c r="H103" s="36">
        <f t="shared" si="15"/>
        <v>880</v>
      </c>
      <c r="I103" s="36">
        <f>29+3+2+3+3+4+3+3+3</f>
        <v>53</v>
      </c>
      <c r="J103" s="36">
        <v>464</v>
      </c>
      <c r="K103" s="2">
        <f t="shared" si="12"/>
        <v>848</v>
      </c>
      <c r="L103" s="2">
        <f t="shared" si="13"/>
        <v>384</v>
      </c>
      <c r="M103" s="2">
        <f t="shared" si="14"/>
        <v>32</v>
      </c>
      <c r="N103" s="36" t="s">
        <v>177</v>
      </c>
      <c r="O103" s="18">
        <v>3853084</v>
      </c>
      <c r="P103" s="36" t="s">
        <v>26</v>
      </c>
      <c r="Q103" s="36">
        <v>1</v>
      </c>
      <c r="R103" s="37">
        <v>45727</v>
      </c>
      <c r="S103" s="37">
        <v>46457</v>
      </c>
      <c r="T103" s="19">
        <v>45868</v>
      </c>
      <c r="U103" s="38">
        <f t="shared" si="9"/>
        <v>589</v>
      </c>
      <c r="V103" s="38" t="str">
        <f t="shared" si="10"/>
        <v>Not Expired</v>
      </c>
      <c r="W103" s="38" t="str">
        <f t="shared" si="11"/>
        <v>Not Expire</v>
      </c>
      <c r="X103" s="3" t="s">
        <v>280</v>
      </c>
      <c r="Y103" s="3" t="str">
        <f>VLOOKUP(O103,[5]Working!$F:$Q,12,0)</f>
        <v>DFIPL Purchase</v>
      </c>
      <c r="Z103" s="2"/>
      <c r="AA103" s="2" t="s">
        <v>116</v>
      </c>
      <c r="AB103" s="31" t="s">
        <v>313</v>
      </c>
    </row>
    <row r="104" spans="1:28" ht="18.600000000000001" customHeight="1" x14ac:dyDescent="0.3">
      <c r="A104" s="2">
        <v>112</v>
      </c>
      <c r="B104" s="2" t="s">
        <v>248</v>
      </c>
      <c r="C104" s="2" t="s">
        <v>20</v>
      </c>
      <c r="D104" s="2" t="s">
        <v>11</v>
      </c>
      <c r="E104" s="2" t="s">
        <v>12</v>
      </c>
      <c r="F104" s="2">
        <v>3.3</v>
      </c>
      <c r="G104" s="2">
        <v>9</v>
      </c>
      <c r="H104" s="2">
        <f t="shared" si="15"/>
        <v>29.7</v>
      </c>
      <c r="I104" s="2"/>
      <c r="J104" s="2">
        <v>0</v>
      </c>
      <c r="K104" s="2">
        <f t="shared" si="12"/>
        <v>0</v>
      </c>
      <c r="L104" s="2">
        <f t="shared" si="13"/>
        <v>0</v>
      </c>
      <c r="M104" s="2">
        <f t="shared" si="14"/>
        <v>29.7</v>
      </c>
      <c r="N104" s="2" t="s">
        <v>177</v>
      </c>
      <c r="O104" s="18">
        <v>3092173</v>
      </c>
      <c r="P104" s="2" t="s">
        <v>15</v>
      </c>
      <c r="Q104" s="2">
        <v>4</v>
      </c>
      <c r="R104" s="19">
        <v>45001</v>
      </c>
      <c r="S104" s="19">
        <v>46461</v>
      </c>
      <c r="T104" s="19">
        <v>45868</v>
      </c>
      <c r="U104" s="3">
        <f t="shared" si="9"/>
        <v>593</v>
      </c>
      <c r="V104" s="3" t="str">
        <f t="shared" si="10"/>
        <v>Not Expired</v>
      </c>
      <c r="W104" s="3" t="str">
        <f t="shared" si="11"/>
        <v>Not Expire</v>
      </c>
      <c r="X104" s="3" t="s">
        <v>280</v>
      </c>
      <c r="Y104" s="3" t="str">
        <f>VLOOKUP(O104,[5]Working!$F:$Q,12,0)</f>
        <v>DFIPL Purchase</v>
      </c>
      <c r="Z104" s="2"/>
      <c r="AA104" s="2" t="s">
        <v>116</v>
      </c>
    </row>
    <row r="105" spans="1:28" ht="18.600000000000001" customHeight="1" x14ac:dyDescent="0.3">
      <c r="A105" s="2">
        <v>118</v>
      </c>
      <c r="B105" s="2" t="s">
        <v>249</v>
      </c>
      <c r="C105" s="2" t="s">
        <v>27</v>
      </c>
      <c r="D105" s="2"/>
      <c r="E105" s="2" t="s">
        <v>12</v>
      </c>
      <c r="F105" s="2">
        <v>5</v>
      </c>
      <c r="G105" s="2">
        <v>2</v>
      </c>
      <c r="H105" s="2">
        <f t="shared" si="15"/>
        <v>10</v>
      </c>
      <c r="I105" s="2"/>
      <c r="J105" s="2">
        <v>0</v>
      </c>
      <c r="K105" s="2">
        <f t="shared" si="12"/>
        <v>0</v>
      </c>
      <c r="L105" s="2">
        <f t="shared" si="13"/>
        <v>0</v>
      </c>
      <c r="M105" s="2">
        <f t="shared" si="14"/>
        <v>10</v>
      </c>
      <c r="N105" s="2" t="s">
        <v>177</v>
      </c>
      <c r="O105" s="18">
        <v>3103737</v>
      </c>
      <c r="P105" s="2" t="s">
        <v>15</v>
      </c>
      <c r="Q105" s="2">
        <v>4</v>
      </c>
      <c r="R105" s="19">
        <v>45013</v>
      </c>
      <c r="S105" s="19">
        <v>46473</v>
      </c>
      <c r="T105" s="19">
        <v>45868</v>
      </c>
      <c r="U105" s="3">
        <f t="shared" si="9"/>
        <v>605</v>
      </c>
      <c r="V105" s="3" t="str">
        <f t="shared" si="10"/>
        <v>Not Expired</v>
      </c>
      <c r="W105" s="3" t="str">
        <f t="shared" si="11"/>
        <v>Not Expire</v>
      </c>
      <c r="X105" s="3" t="s">
        <v>280</v>
      </c>
      <c r="Y105" s="3" t="str">
        <f>VLOOKUP(O105,[5]Working!$F:$Q,12,0)</f>
        <v>DFIPL Purchase</v>
      </c>
      <c r="Z105" s="2"/>
      <c r="AA105" s="2" t="s">
        <v>116</v>
      </c>
    </row>
    <row r="106" spans="1:28" ht="18.600000000000001" customHeight="1" x14ac:dyDescent="0.3">
      <c r="A106" s="2">
        <v>188</v>
      </c>
      <c r="B106" s="2" t="s">
        <v>235</v>
      </c>
      <c r="C106" s="2" t="s">
        <v>76</v>
      </c>
      <c r="D106" s="2" t="s">
        <v>11</v>
      </c>
      <c r="E106" s="2" t="s">
        <v>12</v>
      </c>
      <c r="F106" s="2">
        <v>1.8</v>
      </c>
      <c r="G106" s="2">
        <v>3</v>
      </c>
      <c r="H106" s="2">
        <f t="shared" si="15"/>
        <v>5.4</v>
      </c>
      <c r="I106" s="2"/>
      <c r="J106" s="2">
        <v>0</v>
      </c>
      <c r="K106" s="2">
        <f t="shared" si="12"/>
        <v>0</v>
      </c>
      <c r="L106" s="2">
        <f t="shared" si="13"/>
        <v>0</v>
      </c>
      <c r="M106" s="2">
        <f t="shared" si="14"/>
        <v>5.4</v>
      </c>
      <c r="N106" s="2" t="s">
        <v>177</v>
      </c>
      <c r="O106" s="18">
        <v>3113974</v>
      </c>
      <c r="P106" s="2" t="s">
        <v>89</v>
      </c>
      <c r="Q106" s="2">
        <v>2</v>
      </c>
      <c r="R106" s="19">
        <v>45023</v>
      </c>
      <c r="S106" s="19">
        <v>46483</v>
      </c>
      <c r="T106" s="19">
        <v>45868</v>
      </c>
      <c r="U106" s="3">
        <f t="shared" si="9"/>
        <v>615</v>
      </c>
      <c r="V106" s="3" t="str">
        <f t="shared" si="10"/>
        <v>Not Expired</v>
      </c>
      <c r="W106" s="3" t="str">
        <f t="shared" si="11"/>
        <v>Not Expire</v>
      </c>
      <c r="X106" s="3" t="s">
        <v>280</v>
      </c>
      <c r="Y106" s="3" t="str">
        <f>VLOOKUP(O106,[5]Working!$F:$Q,12,0)</f>
        <v>DFIPL Purchase</v>
      </c>
      <c r="Z106" s="2"/>
      <c r="AA106" s="2" t="s">
        <v>116</v>
      </c>
    </row>
    <row r="107" spans="1:28" ht="18.600000000000001" customHeight="1" x14ac:dyDescent="0.3">
      <c r="A107" s="36">
        <v>143</v>
      </c>
      <c r="B107" s="2" t="s">
        <v>209</v>
      </c>
      <c r="C107" s="36" t="s">
        <v>29</v>
      </c>
      <c r="D107" s="36" t="s">
        <v>24</v>
      </c>
      <c r="E107" s="36" t="s">
        <v>12</v>
      </c>
      <c r="F107" s="36">
        <v>16</v>
      </c>
      <c r="G107" s="18">
        <v>115</v>
      </c>
      <c r="H107" s="18">
        <f t="shared" si="15"/>
        <v>1840</v>
      </c>
      <c r="I107" s="18">
        <f>74+11+8+11</f>
        <v>104</v>
      </c>
      <c r="J107" s="18">
        <v>1184</v>
      </c>
      <c r="K107" s="2">
        <f t="shared" si="12"/>
        <v>1664</v>
      </c>
      <c r="L107" s="2">
        <f t="shared" si="13"/>
        <v>480</v>
      </c>
      <c r="M107" s="2">
        <f t="shared" si="14"/>
        <v>176</v>
      </c>
      <c r="N107" s="18" t="s">
        <v>177</v>
      </c>
      <c r="O107" s="18">
        <v>3880190</v>
      </c>
      <c r="P107" s="33" t="s">
        <v>26</v>
      </c>
      <c r="Q107" s="2">
        <v>1</v>
      </c>
      <c r="R107" s="19">
        <v>45755</v>
      </c>
      <c r="S107" s="19">
        <v>46485</v>
      </c>
      <c r="T107" s="19">
        <v>45868</v>
      </c>
      <c r="U107" s="3">
        <f t="shared" si="9"/>
        <v>617</v>
      </c>
      <c r="V107" s="3" t="str">
        <f t="shared" si="10"/>
        <v>Not Expired</v>
      </c>
      <c r="W107" s="3" t="str">
        <f t="shared" si="11"/>
        <v>Not Expire</v>
      </c>
      <c r="X107" s="3" t="s">
        <v>280</v>
      </c>
      <c r="Y107" s="3" t="str">
        <f>VLOOKUP(O107,[5]Working!$F:$Q,12,0)</f>
        <v>DFIPL Purchase</v>
      </c>
      <c r="Z107" s="2"/>
      <c r="AA107" s="2" t="s">
        <v>116</v>
      </c>
      <c r="AB107" s="31" t="s">
        <v>302</v>
      </c>
    </row>
    <row r="108" spans="1:28" s="24" customFormat="1" ht="18.600000000000001" hidden="1" customHeight="1" x14ac:dyDescent="0.3">
      <c r="A108" s="21">
        <v>72</v>
      </c>
      <c r="B108" s="2" t="s">
        <v>216</v>
      </c>
      <c r="C108" s="21" t="s">
        <v>63</v>
      </c>
      <c r="D108" s="21" t="s">
        <v>11</v>
      </c>
      <c r="E108" s="21" t="s">
        <v>12</v>
      </c>
      <c r="F108" s="21">
        <v>1.8</v>
      </c>
      <c r="G108" s="21">
        <v>39</v>
      </c>
      <c r="H108" s="21">
        <f t="shared" si="15"/>
        <v>70.2</v>
      </c>
      <c r="I108" s="21"/>
      <c r="J108" s="21">
        <v>0</v>
      </c>
      <c r="K108" s="2">
        <f t="shared" si="12"/>
        <v>0</v>
      </c>
      <c r="L108" s="2">
        <f t="shared" si="13"/>
        <v>0</v>
      </c>
      <c r="M108" s="2">
        <f t="shared" si="14"/>
        <v>70.2</v>
      </c>
      <c r="N108" s="2" t="s">
        <v>177</v>
      </c>
      <c r="O108" s="21">
        <v>3881423</v>
      </c>
      <c r="P108" s="21" t="s">
        <v>18</v>
      </c>
      <c r="Q108" s="21">
        <v>4</v>
      </c>
      <c r="R108" s="23">
        <v>45756</v>
      </c>
      <c r="S108" s="23">
        <v>46486</v>
      </c>
      <c r="T108" s="19">
        <v>45868</v>
      </c>
      <c r="U108" s="3">
        <f t="shared" si="9"/>
        <v>618</v>
      </c>
      <c r="V108" s="3" t="str">
        <f t="shared" si="10"/>
        <v>Not Expired</v>
      </c>
      <c r="W108" s="3" t="str">
        <f t="shared" si="11"/>
        <v>Not Expire</v>
      </c>
      <c r="X108" s="3" t="s">
        <v>281</v>
      </c>
      <c r="Y108" s="3" t="e">
        <f>VLOOKUP(O108,[5]Working!$F:$Q,12,0)</f>
        <v>#N/A</v>
      </c>
      <c r="Z108" s="2" t="s">
        <v>111</v>
      </c>
      <c r="AA108" s="2" t="s">
        <v>118</v>
      </c>
      <c r="AB108"/>
    </row>
    <row r="109" spans="1:28" ht="18.600000000000001" hidden="1" customHeight="1" x14ac:dyDescent="0.3">
      <c r="A109" s="2">
        <v>136</v>
      </c>
      <c r="B109" s="2" t="s">
        <v>240</v>
      </c>
      <c r="C109" s="2" t="s">
        <v>66</v>
      </c>
      <c r="D109" s="2" t="s">
        <v>24</v>
      </c>
      <c r="E109" s="2" t="s">
        <v>12</v>
      </c>
      <c r="F109" s="2">
        <v>17.5</v>
      </c>
      <c r="G109" s="2">
        <v>57</v>
      </c>
      <c r="H109" s="2">
        <f t="shared" si="15"/>
        <v>997.5</v>
      </c>
      <c r="I109" s="27">
        <v>2</v>
      </c>
      <c r="J109" s="27">
        <v>0</v>
      </c>
      <c r="K109" s="2">
        <f t="shared" si="12"/>
        <v>35</v>
      </c>
      <c r="L109" s="2">
        <f t="shared" si="13"/>
        <v>35</v>
      </c>
      <c r="M109" s="2">
        <f t="shared" si="14"/>
        <v>962.5</v>
      </c>
      <c r="N109" s="2" t="s">
        <v>177</v>
      </c>
      <c r="O109" s="18">
        <v>75035282</v>
      </c>
      <c r="P109" s="2" t="s">
        <v>59</v>
      </c>
      <c r="Q109" s="2">
        <v>1</v>
      </c>
      <c r="R109" s="19">
        <v>45761</v>
      </c>
      <c r="S109" s="19">
        <v>46491</v>
      </c>
      <c r="T109" s="19">
        <v>45868</v>
      </c>
      <c r="U109" s="3">
        <f t="shared" si="9"/>
        <v>623</v>
      </c>
      <c r="V109" s="3" t="str">
        <f t="shared" si="10"/>
        <v>Not Expired</v>
      </c>
      <c r="W109" s="3" t="str">
        <f t="shared" si="11"/>
        <v>Not Expire</v>
      </c>
      <c r="X109" s="3" t="s">
        <v>281</v>
      </c>
      <c r="Y109" s="3" t="e">
        <f>VLOOKUP(O109,[5]Working!$F:$Q,12,0)</f>
        <v>#N/A</v>
      </c>
      <c r="Z109" s="2"/>
      <c r="AA109" s="2" t="s">
        <v>116</v>
      </c>
      <c r="AB109" t="s">
        <v>300</v>
      </c>
    </row>
    <row r="110" spans="1:28" ht="30" customHeight="1" x14ac:dyDescent="0.3">
      <c r="A110" s="27">
        <v>122</v>
      </c>
      <c r="B110" s="2" t="s">
        <v>198</v>
      </c>
      <c r="C110" s="2" t="s">
        <v>22</v>
      </c>
      <c r="D110" s="2" t="s">
        <v>11</v>
      </c>
      <c r="E110" s="2" t="s">
        <v>12</v>
      </c>
      <c r="F110" s="2">
        <v>4</v>
      </c>
      <c r="G110" s="2">
        <v>235</v>
      </c>
      <c r="H110" s="2">
        <f t="shared" si="15"/>
        <v>940</v>
      </c>
      <c r="I110" s="2">
        <f>82+11+8+2+11+9+12+8+11+9+11+11</f>
        <v>185</v>
      </c>
      <c r="J110" s="2">
        <v>328</v>
      </c>
      <c r="K110" s="2">
        <f t="shared" si="12"/>
        <v>740</v>
      </c>
      <c r="L110" s="2">
        <f t="shared" si="13"/>
        <v>412</v>
      </c>
      <c r="M110" s="2">
        <f t="shared" si="14"/>
        <v>200</v>
      </c>
      <c r="N110" s="2" t="s">
        <v>177</v>
      </c>
      <c r="O110" s="18">
        <v>3888650</v>
      </c>
      <c r="P110" s="2" t="s">
        <v>26</v>
      </c>
      <c r="Q110" s="2">
        <v>1</v>
      </c>
      <c r="R110" s="19">
        <v>45763</v>
      </c>
      <c r="S110" s="19">
        <v>46493</v>
      </c>
      <c r="T110" s="19">
        <v>45868</v>
      </c>
      <c r="U110" s="3">
        <f t="shared" si="9"/>
        <v>625</v>
      </c>
      <c r="V110" s="3" t="str">
        <f t="shared" si="10"/>
        <v>Not Expired</v>
      </c>
      <c r="W110" s="3" t="str">
        <f t="shared" si="11"/>
        <v>Not Expire</v>
      </c>
      <c r="X110" s="3" t="s">
        <v>280</v>
      </c>
      <c r="Y110" s="3" t="str">
        <f>VLOOKUP(O110,[5]Working!$F:$Q,12,0)</f>
        <v>DFIPL Purchase</v>
      </c>
      <c r="Z110" s="2"/>
      <c r="AA110" s="2" t="s">
        <v>116</v>
      </c>
      <c r="AB110" s="39" t="s">
        <v>316</v>
      </c>
    </row>
    <row r="111" spans="1:28" ht="18.600000000000001" customHeight="1" x14ac:dyDescent="0.3">
      <c r="A111" s="27">
        <v>126</v>
      </c>
      <c r="B111" s="2" t="s">
        <v>198</v>
      </c>
      <c r="C111" s="2" t="s">
        <v>22</v>
      </c>
      <c r="D111" s="2" t="s">
        <v>11</v>
      </c>
      <c r="E111" s="2" t="s">
        <v>12</v>
      </c>
      <c r="F111" s="2">
        <v>4</v>
      </c>
      <c r="G111" s="2">
        <f>1-1</f>
        <v>0</v>
      </c>
      <c r="H111" s="2">
        <f t="shared" si="15"/>
        <v>0</v>
      </c>
      <c r="I111" s="2"/>
      <c r="J111" s="2">
        <v>0</v>
      </c>
      <c r="K111" s="2">
        <f t="shared" si="12"/>
        <v>0</v>
      </c>
      <c r="L111" s="2">
        <f t="shared" si="13"/>
        <v>0</v>
      </c>
      <c r="M111" s="2">
        <f t="shared" si="14"/>
        <v>0</v>
      </c>
      <c r="N111" s="2" t="s">
        <v>177</v>
      </c>
      <c r="O111" s="18">
        <v>3888781</v>
      </c>
      <c r="P111" s="2" t="s">
        <v>26</v>
      </c>
      <c r="Q111" s="2">
        <v>1</v>
      </c>
      <c r="R111" s="19">
        <v>45763</v>
      </c>
      <c r="S111" s="19">
        <v>46493</v>
      </c>
      <c r="T111" s="19">
        <v>45868</v>
      </c>
      <c r="U111" s="3">
        <f t="shared" si="9"/>
        <v>625</v>
      </c>
      <c r="V111" s="3" t="str">
        <f t="shared" si="10"/>
        <v>Not Expired</v>
      </c>
      <c r="W111" s="3" t="str">
        <f t="shared" si="11"/>
        <v>Not Expire</v>
      </c>
      <c r="X111" s="3" t="s">
        <v>280</v>
      </c>
      <c r="Y111" s="3" t="str">
        <f>VLOOKUP(O111,[5]Working!$F:$Q,12,0)</f>
        <v>DFIPL Purchase</v>
      </c>
      <c r="Z111" s="2"/>
      <c r="AA111" s="2" t="s">
        <v>116</v>
      </c>
    </row>
    <row r="112" spans="1:28" ht="18.600000000000001" customHeight="1" x14ac:dyDescent="0.3">
      <c r="A112" s="27">
        <v>142</v>
      </c>
      <c r="B112" s="2" t="s">
        <v>209</v>
      </c>
      <c r="C112" s="2" t="s">
        <v>29</v>
      </c>
      <c r="D112" s="2" t="s">
        <v>24</v>
      </c>
      <c r="E112" s="2" t="s">
        <v>12</v>
      </c>
      <c r="F112" s="2">
        <v>16</v>
      </c>
      <c r="G112" s="18">
        <v>69</v>
      </c>
      <c r="H112" s="18">
        <f t="shared" si="15"/>
        <v>1104</v>
      </c>
      <c r="I112" s="18">
        <f>9+12+8+11+9</f>
        <v>49</v>
      </c>
      <c r="J112" s="18">
        <v>0</v>
      </c>
      <c r="K112" s="2">
        <f t="shared" si="12"/>
        <v>784</v>
      </c>
      <c r="L112" s="2">
        <f t="shared" si="13"/>
        <v>784</v>
      </c>
      <c r="M112" s="2">
        <f t="shared" si="14"/>
        <v>320</v>
      </c>
      <c r="N112" s="18" t="s">
        <v>177</v>
      </c>
      <c r="O112" s="18">
        <v>3888540</v>
      </c>
      <c r="P112" s="33" t="s">
        <v>26</v>
      </c>
      <c r="Q112" s="2">
        <v>1</v>
      </c>
      <c r="R112" s="19">
        <v>45763</v>
      </c>
      <c r="S112" s="19">
        <v>46493</v>
      </c>
      <c r="T112" s="19">
        <v>45868</v>
      </c>
      <c r="U112" s="3">
        <f t="shared" si="9"/>
        <v>625</v>
      </c>
      <c r="V112" s="3" t="str">
        <f t="shared" si="10"/>
        <v>Not Expired</v>
      </c>
      <c r="W112" s="3" t="str">
        <f t="shared" si="11"/>
        <v>Not Expire</v>
      </c>
      <c r="X112" s="3" t="s">
        <v>280</v>
      </c>
      <c r="Y112" s="3" t="str">
        <f>VLOOKUP(O112,[5]Working!$F:$Q,12,0)</f>
        <v>DFIPL Purchase</v>
      </c>
      <c r="Z112" s="2"/>
      <c r="AA112" s="2" t="s">
        <v>116</v>
      </c>
      <c r="AB112" t="s">
        <v>312</v>
      </c>
    </row>
    <row r="113" spans="1:28" ht="18.600000000000001" customHeight="1" x14ac:dyDescent="0.3">
      <c r="A113" s="10">
        <v>20</v>
      </c>
      <c r="B113" s="2" t="s">
        <v>222</v>
      </c>
      <c r="C113" s="33" t="s">
        <v>30</v>
      </c>
      <c r="D113" s="33" t="s">
        <v>24</v>
      </c>
      <c r="E113" s="33" t="s">
        <v>12</v>
      </c>
      <c r="F113" s="18">
        <v>16</v>
      </c>
      <c r="G113" s="18">
        <v>2</v>
      </c>
      <c r="H113" s="18">
        <f t="shared" si="15"/>
        <v>32</v>
      </c>
      <c r="I113" s="18">
        <v>2</v>
      </c>
      <c r="J113" s="18">
        <v>32</v>
      </c>
      <c r="K113" s="2">
        <f t="shared" si="12"/>
        <v>32</v>
      </c>
      <c r="L113" s="2">
        <f t="shared" si="13"/>
        <v>0</v>
      </c>
      <c r="M113" s="2">
        <f t="shared" si="14"/>
        <v>0</v>
      </c>
      <c r="N113" s="18" t="s">
        <v>177</v>
      </c>
      <c r="O113" s="18">
        <v>3923183</v>
      </c>
      <c r="P113" s="33" t="s">
        <v>19</v>
      </c>
      <c r="Q113" s="18">
        <v>3</v>
      </c>
      <c r="R113" s="34">
        <v>45794</v>
      </c>
      <c r="S113" s="34">
        <v>46524</v>
      </c>
      <c r="T113" s="19">
        <v>45868</v>
      </c>
      <c r="U113" s="35">
        <f t="shared" si="9"/>
        <v>656</v>
      </c>
      <c r="V113" s="35" t="str">
        <f t="shared" si="10"/>
        <v>Not Expired</v>
      </c>
      <c r="W113" s="35" t="str">
        <f t="shared" si="11"/>
        <v>Not Expire</v>
      </c>
      <c r="X113" s="3" t="s">
        <v>280</v>
      </c>
      <c r="Y113" s="3" t="str">
        <f>VLOOKUP(O113,[5]Working!$F:$Q,12,0)</f>
        <v>DFIPL Purchase</v>
      </c>
      <c r="Z113" s="2"/>
      <c r="AA113" s="2" t="s">
        <v>116</v>
      </c>
      <c r="AB113" s="31" t="s">
        <v>167</v>
      </c>
    </row>
    <row r="114" spans="1:28" ht="18.600000000000001" customHeight="1" x14ac:dyDescent="0.3">
      <c r="A114" s="2">
        <v>11</v>
      </c>
      <c r="B114" s="2" t="s">
        <v>198</v>
      </c>
      <c r="C114" s="13" t="s">
        <v>196</v>
      </c>
      <c r="D114" s="2" t="s">
        <v>21</v>
      </c>
      <c r="E114" s="2" t="s">
        <v>12</v>
      </c>
      <c r="F114" s="2">
        <v>4</v>
      </c>
      <c r="G114" s="2">
        <v>236</v>
      </c>
      <c r="H114" s="2">
        <f t="shared" si="15"/>
        <v>944</v>
      </c>
      <c r="I114" s="2">
        <f>56+4+12+2+12+3+12+4+11+3+9+2+12+4+13+4+11+3+11+3+12+4+9+2</f>
        <v>218</v>
      </c>
      <c r="J114" s="2">
        <v>224</v>
      </c>
      <c r="K114" s="2">
        <f t="shared" si="12"/>
        <v>872</v>
      </c>
      <c r="L114" s="2">
        <f t="shared" si="13"/>
        <v>648</v>
      </c>
      <c r="M114" s="2">
        <f t="shared" si="14"/>
        <v>72</v>
      </c>
      <c r="N114" s="2" t="s">
        <v>177</v>
      </c>
      <c r="O114" s="18">
        <v>3923488</v>
      </c>
      <c r="P114" s="2" t="s">
        <v>19</v>
      </c>
      <c r="Q114" s="2">
        <v>3</v>
      </c>
      <c r="R114" s="19">
        <v>45796</v>
      </c>
      <c r="S114" s="19">
        <v>46526</v>
      </c>
      <c r="T114" s="19">
        <v>45868</v>
      </c>
      <c r="U114" s="3">
        <f t="shared" si="9"/>
        <v>658</v>
      </c>
      <c r="V114" s="3" t="str">
        <f t="shared" si="10"/>
        <v>Not Expired</v>
      </c>
      <c r="W114" s="3" t="str">
        <f t="shared" si="11"/>
        <v>Not Expire</v>
      </c>
      <c r="X114" s="3" t="s">
        <v>280</v>
      </c>
      <c r="Y114" s="3" t="str">
        <f>VLOOKUP(O114,[5]Working!$F:$Q,12,0)</f>
        <v>DFIPL Purchase</v>
      </c>
      <c r="Z114" s="2"/>
      <c r="AA114" s="2" t="s">
        <v>116</v>
      </c>
      <c r="AB114" t="s">
        <v>327</v>
      </c>
    </row>
    <row r="115" spans="1:28" ht="18.600000000000001" customHeight="1" x14ac:dyDescent="0.3">
      <c r="A115" s="2">
        <v>12</v>
      </c>
      <c r="B115" s="2" t="s">
        <v>199</v>
      </c>
      <c r="C115" s="2" t="s">
        <v>22</v>
      </c>
      <c r="D115" s="2" t="s">
        <v>21</v>
      </c>
      <c r="E115" s="2" t="s">
        <v>12</v>
      </c>
      <c r="F115" s="2">
        <v>4</v>
      </c>
      <c r="G115" s="2">
        <f>24-10-12</f>
        <v>2</v>
      </c>
      <c r="H115" s="2">
        <f t="shared" si="15"/>
        <v>8</v>
      </c>
      <c r="I115" s="2"/>
      <c r="J115" s="2">
        <v>0</v>
      </c>
      <c r="K115" s="2">
        <f t="shared" si="12"/>
        <v>0</v>
      </c>
      <c r="L115" s="2">
        <f t="shared" si="13"/>
        <v>0</v>
      </c>
      <c r="M115" s="2">
        <f t="shared" si="14"/>
        <v>8</v>
      </c>
      <c r="N115" s="2" t="s">
        <v>177</v>
      </c>
      <c r="O115" s="18">
        <v>3923489</v>
      </c>
      <c r="P115" s="2" t="s">
        <v>19</v>
      </c>
      <c r="Q115" s="2">
        <v>3</v>
      </c>
      <c r="R115" s="19">
        <v>45796</v>
      </c>
      <c r="S115" s="19">
        <v>46526</v>
      </c>
      <c r="T115" s="19">
        <v>45868</v>
      </c>
      <c r="U115" s="3">
        <f t="shared" si="9"/>
        <v>658</v>
      </c>
      <c r="V115" s="3" t="str">
        <f t="shared" si="10"/>
        <v>Not Expired</v>
      </c>
      <c r="W115" s="3" t="str">
        <f t="shared" si="11"/>
        <v>Not Expire</v>
      </c>
      <c r="X115" s="3" t="s">
        <v>280</v>
      </c>
      <c r="Y115" s="3" t="str">
        <f>VLOOKUP(O115,[5]Working!$F:$Q,12,0)</f>
        <v>DFIPL Purchase</v>
      </c>
      <c r="Z115" s="2"/>
      <c r="AA115" s="2" t="s">
        <v>116</v>
      </c>
      <c r="AB115" t="s">
        <v>148</v>
      </c>
    </row>
    <row r="116" spans="1:28" ht="18.600000000000001" customHeight="1" x14ac:dyDescent="0.3">
      <c r="A116" s="2">
        <v>21</v>
      </c>
      <c r="B116" s="2" t="s">
        <v>222</v>
      </c>
      <c r="C116" s="2" t="s">
        <v>30</v>
      </c>
      <c r="D116" s="2" t="s">
        <v>24</v>
      </c>
      <c r="E116" s="2" t="s">
        <v>12</v>
      </c>
      <c r="F116" s="2">
        <v>16</v>
      </c>
      <c r="G116" s="2">
        <v>67</v>
      </c>
      <c r="H116" s="2">
        <f t="shared" si="15"/>
        <v>1072</v>
      </c>
      <c r="I116" s="2">
        <f>11+4+2+3+4+3+2+4+4+3+3+4+2</f>
        <v>49</v>
      </c>
      <c r="J116" s="2">
        <v>176</v>
      </c>
      <c r="K116" s="2">
        <f t="shared" si="12"/>
        <v>784</v>
      </c>
      <c r="L116" s="2">
        <f t="shared" si="13"/>
        <v>608</v>
      </c>
      <c r="M116" s="2">
        <f t="shared" si="14"/>
        <v>288</v>
      </c>
      <c r="N116" s="2" t="s">
        <v>178</v>
      </c>
      <c r="O116" s="18">
        <v>3924941</v>
      </c>
      <c r="P116" s="2" t="s">
        <v>19</v>
      </c>
      <c r="Q116" s="2">
        <v>3</v>
      </c>
      <c r="R116" s="19">
        <v>45796</v>
      </c>
      <c r="S116" s="19">
        <v>46526</v>
      </c>
      <c r="T116" s="19">
        <v>45868</v>
      </c>
      <c r="U116" s="3">
        <f t="shared" si="9"/>
        <v>658</v>
      </c>
      <c r="V116" s="3" t="str">
        <f t="shared" si="10"/>
        <v>Not Expired</v>
      </c>
      <c r="W116" s="3" t="str">
        <f t="shared" si="11"/>
        <v>Not Expire</v>
      </c>
      <c r="X116" s="3" t="s">
        <v>280</v>
      </c>
      <c r="Y116" s="3" t="str">
        <f>VLOOKUP(O116,[5]Working!$F:$Q,12,0)</f>
        <v>DFIPL Purchase</v>
      </c>
      <c r="Z116" s="2"/>
      <c r="AA116" s="2" t="s">
        <v>116</v>
      </c>
      <c r="AB116" s="31" t="s">
        <v>328</v>
      </c>
    </row>
    <row r="117" spans="1:28" ht="18.600000000000001" customHeight="1" x14ac:dyDescent="0.3">
      <c r="A117" s="2">
        <v>39</v>
      </c>
      <c r="B117" s="2" t="s">
        <v>199</v>
      </c>
      <c r="C117" s="13" t="s">
        <v>197</v>
      </c>
      <c r="D117" s="2" t="s">
        <v>11</v>
      </c>
      <c r="E117" s="2" t="s">
        <v>12</v>
      </c>
      <c r="F117" s="2">
        <v>4</v>
      </c>
      <c r="G117" s="2">
        <v>14</v>
      </c>
      <c r="H117" s="2">
        <f t="shared" si="15"/>
        <v>56</v>
      </c>
      <c r="I117" s="2">
        <v>11</v>
      </c>
      <c r="J117" s="2">
        <v>0</v>
      </c>
      <c r="K117" s="2">
        <f t="shared" si="12"/>
        <v>44</v>
      </c>
      <c r="L117" s="2">
        <f t="shared" si="13"/>
        <v>44</v>
      </c>
      <c r="M117" s="2">
        <f t="shared" si="14"/>
        <v>12</v>
      </c>
      <c r="N117" s="2" t="s">
        <v>178</v>
      </c>
      <c r="O117" s="18">
        <v>3923488</v>
      </c>
      <c r="P117" s="2" t="s">
        <v>19</v>
      </c>
      <c r="Q117" s="2">
        <v>3</v>
      </c>
      <c r="R117" s="19">
        <v>45796</v>
      </c>
      <c r="S117" s="19">
        <v>46526</v>
      </c>
      <c r="T117" s="19">
        <v>45868</v>
      </c>
      <c r="U117" s="3">
        <f t="shared" si="9"/>
        <v>658</v>
      </c>
      <c r="V117" s="3" t="str">
        <f t="shared" si="10"/>
        <v>Not Expired</v>
      </c>
      <c r="W117" s="3" t="str">
        <f t="shared" si="11"/>
        <v>Not Expire</v>
      </c>
      <c r="X117" s="3" t="s">
        <v>280</v>
      </c>
      <c r="Y117" s="3" t="str">
        <f>VLOOKUP(O117,[5]Working!$F:$Q,12,0)</f>
        <v>DFIPL Purchase</v>
      </c>
      <c r="Z117" s="2"/>
      <c r="AA117" s="2" t="s">
        <v>116</v>
      </c>
      <c r="AB117" s="31" t="s">
        <v>291</v>
      </c>
    </row>
    <row r="118" spans="1:28" ht="18.600000000000001" customHeight="1" x14ac:dyDescent="0.3">
      <c r="A118" s="2">
        <v>94</v>
      </c>
      <c r="B118" s="2" t="s">
        <v>199</v>
      </c>
      <c r="C118" s="13" t="s">
        <v>197</v>
      </c>
      <c r="D118" s="2" t="s">
        <v>11</v>
      </c>
      <c r="E118" s="2" t="s">
        <v>12</v>
      </c>
      <c r="F118" s="2">
        <v>4</v>
      </c>
      <c r="G118" s="2">
        <v>42</v>
      </c>
      <c r="H118" s="2">
        <f t="shared" si="15"/>
        <v>168</v>
      </c>
      <c r="I118" s="2">
        <v>13</v>
      </c>
      <c r="J118" s="2">
        <v>52</v>
      </c>
      <c r="K118" s="2">
        <f t="shared" si="12"/>
        <v>52</v>
      </c>
      <c r="L118" s="2">
        <f t="shared" si="13"/>
        <v>0</v>
      </c>
      <c r="M118" s="2">
        <f t="shared" si="14"/>
        <v>116</v>
      </c>
      <c r="N118" s="2" t="s">
        <v>178</v>
      </c>
      <c r="O118" s="18">
        <v>3923488</v>
      </c>
      <c r="P118" s="2" t="s">
        <v>19</v>
      </c>
      <c r="Q118" s="2">
        <v>3</v>
      </c>
      <c r="R118" s="19">
        <v>45796</v>
      </c>
      <c r="S118" s="19">
        <v>46526</v>
      </c>
      <c r="T118" s="19">
        <v>45868</v>
      </c>
      <c r="U118" s="3">
        <f t="shared" si="9"/>
        <v>658</v>
      </c>
      <c r="V118" s="3" t="str">
        <f t="shared" si="10"/>
        <v>Not Expired</v>
      </c>
      <c r="W118" s="3" t="str">
        <f t="shared" si="11"/>
        <v>Not Expire</v>
      </c>
      <c r="X118" s="3" t="s">
        <v>280</v>
      </c>
      <c r="Y118" s="3" t="str">
        <f>VLOOKUP(O118,[5]Working!$F:$Q,12,0)</f>
        <v>DFIPL Purchase</v>
      </c>
      <c r="Z118" s="2"/>
      <c r="AA118" s="2" t="s">
        <v>116</v>
      </c>
    </row>
    <row r="119" spans="1:28" ht="18.600000000000001" customHeight="1" x14ac:dyDescent="0.3">
      <c r="A119" s="27">
        <v>145</v>
      </c>
      <c r="B119" s="2" t="s">
        <v>175</v>
      </c>
      <c r="C119" s="2" t="s">
        <v>86</v>
      </c>
      <c r="D119" s="2" t="s">
        <v>24</v>
      </c>
      <c r="E119" s="2" t="s">
        <v>12</v>
      </c>
      <c r="F119" s="2">
        <v>7.5</v>
      </c>
      <c r="G119" s="2">
        <v>15</v>
      </c>
      <c r="H119" s="2">
        <f t="shared" si="15"/>
        <v>112.5</v>
      </c>
      <c r="I119" s="2">
        <f>1+1+1</f>
        <v>3</v>
      </c>
      <c r="J119" s="2">
        <v>0</v>
      </c>
      <c r="K119" s="2">
        <f t="shared" si="12"/>
        <v>22.5</v>
      </c>
      <c r="L119" s="2">
        <f t="shared" si="13"/>
        <v>22.5</v>
      </c>
      <c r="M119" s="2">
        <f t="shared" si="14"/>
        <v>90</v>
      </c>
      <c r="N119" s="2" t="s">
        <v>178</v>
      </c>
      <c r="O119" s="18">
        <v>3936078</v>
      </c>
      <c r="P119" s="2" t="s">
        <v>26</v>
      </c>
      <c r="Q119" s="2">
        <v>1</v>
      </c>
      <c r="R119" s="19">
        <v>45807</v>
      </c>
      <c r="S119" s="19">
        <v>46527</v>
      </c>
      <c r="T119" s="19">
        <v>45868</v>
      </c>
      <c r="U119" s="3">
        <f t="shared" si="9"/>
        <v>659</v>
      </c>
      <c r="V119" s="3" t="str">
        <f t="shared" si="10"/>
        <v>Not Expired</v>
      </c>
      <c r="W119" s="3" t="str">
        <f t="shared" si="11"/>
        <v>Not Expire</v>
      </c>
      <c r="X119" s="3" t="s">
        <v>280</v>
      </c>
      <c r="Y119" s="3" t="str">
        <f>VLOOKUP(O119,[5]Working!$F:$Q,12,0)</f>
        <v>DFIPL Purchase</v>
      </c>
      <c r="Z119" s="2"/>
      <c r="AA119" s="2" t="s">
        <v>116</v>
      </c>
      <c r="AB119" s="31" t="s">
        <v>314</v>
      </c>
    </row>
    <row r="120" spans="1:28" ht="18.600000000000001" customHeight="1" x14ac:dyDescent="0.3">
      <c r="A120" s="2">
        <v>45</v>
      </c>
      <c r="B120" s="2" t="s">
        <v>209</v>
      </c>
      <c r="C120" s="2" t="s">
        <v>29</v>
      </c>
      <c r="D120" s="2" t="s">
        <v>24</v>
      </c>
      <c r="E120" s="2" t="s">
        <v>12</v>
      </c>
      <c r="F120" s="2">
        <v>16</v>
      </c>
      <c r="G120" s="2">
        <v>163</v>
      </c>
      <c r="H120" s="2">
        <f t="shared" si="15"/>
        <v>2608</v>
      </c>
      <c r="I120" s="2">
        <f>43+11+12+12+11+11+9+12+13+11+11</f>
        <v>156</v>
      </c>
      <c r="J120" s="2">
        <v>688</v>
      </c>
      <c r="K120" s="2">
        <f t="shared" si="12"/>
        <v>2496</v>
      </c>
      <c r="L120" s="2">
        <f t="shared" si="13"/>
        <v>1808</v>
      </c>
      <c r="M120" s="2">
        <f t="shared" si="14"/>
        <v>112</v>
      </c>
      <c r="N120" s="2" t="s">
        <v>178</v>
      </c>
      <c r="O120" s="18">
        <v>3926473</v>
      </c>
      <c r="P120" s="2" t="s">
        <v>19</v>
      </c>
      <c r="Q120" s="2">
        <v>3</v>
      </c>
      <c r="R120" s="19">
        <v>45798</v>
      </c>
      <c r="S120" s="19">
        <v>46528</v>
      </c>
      <c r="T120" s="19">
        <v>45868</v>
      </c>
      <c r="U120" s="3">
        <f t="shared" ref="U120:U178" si="16">S120-T120</f>
        <v>660</v>
      </c>
      <c r="V120" s="3" t="str">
        <f t="shared" si="10"/>
        <v>Not Expired</v>
      </c>
      <c r="W120" s="3" t="str">
        <f t="shared" si="11"/>
        <v>Not Expire</v>
      </c>
      <c r="X120" s="3" t="s">
        <v>280</v>
      </c>
      <c r="Y120" s="3" t="str">
        <f>VLOOKUP(O120,[5]Working!$F:$Q,12,0)</f>
        <v>DFIPL Purchase</v>
      </c>
      <c r="Z120" s="2"/>
      <c r="AA120" s="2" t="s">
        <v>116</v>
      </c>
      <c r="AB120" s="31" t="s">
        <v>315</v>
      </c>
    </row>
    <row r="121" spans="1:28" ht="18.600000000000001" customHeight="1" x14ac:dyDescent="0.3">
      <c r="A121" s="2">
        <v>96</v>
      </c>
      <c r="B121" s="2" t="s">
        <v>209</v>
      </c>
      <c r="C121" s="2" t="s">
        <v>29</v>
      </c>
      <c r="D121" s="2" t="s">
        <v>24</v>
      </c>
      <c r="E121" s="2" t="s">
        <v>12</v>
      </c>
      <c r="F121" s="2">
        <v>16</v>
      </c>
      <c r="G121" s="2">
        <v>60</v>
      </c>
      <c r="H121" s="2">
        <f t="shared" si="15"/>
        <v>960</v>
      </c>
      <c r="I121" s="2">
        <f>16+12+9</f>
        <v>37</v>
      </c>
      <c r="J121" s="2">
        <v>256</v>
      </c>
      <c r="K121" s="2">
        <f t="shared" si="12"/>
        <v>592</v>
      </c>
      <c r="L121" s="2">
        <f t="shared" si="13"/>
        <v>336</v>
      </c>
      <c r="M121" s="2">
        <f t="shared" si="14"/>
        <v>368</v>
      </c>
      <c r="N121" s="2" t="s">
        <v>178</v>
      </c>
      <c r="O121" s="18">
        <v>3926473</v>
      </c>
      <c r="P121" s="2" t="s">
        <v>19</v>
      </c>
      <c r="Q121" s="2">
        <v>3</v>
      </c>
      <c r="R121" s="19">
        <v>45798</v>
      </c>
      <c r="S121" s="19">
        <v>46528</v>
      </c>
      <c r="T121" s="19">
        <v>45868</v>
      </c>
      <c r="U121" s="3">
        <f t="shared" si="16"/>
        <v>660</v>
      </c>
      <c r="V121" s="3" t="str">
        <f t="shared" ref="V121:V178" si="17">IF(U121&lt;0,"Expired","Not Expired")</f>
        <v>Not Expired</v>
      </c>
      <c r="W121" s="3" t="str">
        <f t="shared" ref="W121:W178" si="18">IF(U121&lt;-45,"Expired more than 45 Days",IF(U121&lt;0,"Recently Expired within 45 Days ago",IF(U121&lt;=45,"Will be Expire within 45 Days","Not Expire")))</f>
        <v>Not Expire</v>
      </c>
      <c r="X121" s="3" t="s">
        <v>280</v>
      </c>
      <c r="Y121" s="3" t="str">
        <f>VLOOKUP(O121,[5]Working!$F:$Q,12,0)</f>
        <v>DFIPL Purchase</v>
      </c>
      <c r="Z121" s="2"/>
      <c r="AA121" s="2" t="s">
        <v>116</v>
      </c>
      <c r="AB121" t="s">
        <v>326</v>
      </c>
    </row>
    <row r="122" spans="1:28" ht="18.600000000000001" customHeight="1" x14ac:dyDescent="0.3">
      <c r="A122" s="2">
        <v>183</v>
      </c>
      <c r="B122" s="2" t="s">
        <v>235</v>
      </c>
      <c r="C122" s="2" t="s">
        <v>76</v>
      </c>
      <c r="D122" s="2" t="s">
        <v>11</v>
      </c>
      <c r="E122" s="2" t="s">
        <v>12</v>
      </c>
      <c r="F122" s="2">
        <v>1.8</v>
      </c>
      <c r="G122" s="2">
        <v>2</v>
      </c>
      <c r="H122" s="2">
        <f t="shared" si="15"/>
        <v>3.6</v>
      </c>
      <c r="I122" s="2"/>
      <c r="J122" s="2">
        <v>0</v>
      </c>
      <c r="K122" s="2">
        <f t="shared" si="12"/>
        <v>0</v>
      </c>
      <c r="L122" s="2">
        <f t="shared" si="13"/>
        <v>0</v>
      </c>
      <c r="M122" s="2">
        <f t="shared" si="14"/>
        <v>3.6</v>
      </c>
      <c r="N122" s="2" t="s">
        <v>178</v>
      </c>
      <c r="O122" s="18">
        <v>3157411</v>
      </c>
      <c r="P122" s="2" t="s">
        <v>89</v>
      </c>
      <c r="Q122" s="2">
        <v>2</v>
      </c>
      <c r="R122" s="19">
        <v>45070</v>
      </c>
      <c r="S122" s="19">
        <v>46530</v>
      </c>
      <c r="T122" s="19">
        <v>45868</v>
      </c>
      <c r="U122" s="3">
        <f t="shared" si="16"/>
        <v>662</v>
      </c>
      <c r="V122" s="3" t="str">
        <f t="shared" si="17"/>
        <v>Not Expired</v>
      </c>
      <c r="W122" s="3" t="str">
        <f t="shared" si="18"/>
        <v>Not Expire</v>
      </c>
      <c r="X122" s="3" t="s">
        <v>280</v>
      </c>
      <c r="Y122" s="3" t="str">
        <f>VLOOKUP(O122,[5]Working!$F:$Q,12,0)</f>
        <v>DFIPL Purchase</v>
      </c>
      <c r="Z122" s="2"/>
      <c r="AA122" s="2" t="s">
        <v>116</v>
      </c>
    </row>
    <row r="123" spans="1:28" ht="18.600000000000001" customHeight="1" x14ac:dyDescent="0.3">
      <c r="A123" s="2">
        <v>157</v>
      </c>
      <c r="B123" s="2" t="s">
        <v>214</v>
      </c>
      <c r="C123" s="2" t="s">
        <v>88</v>
      </c>
      <c r="D123" s="2" t="s">
        <v>11</v>
      </c>
      <c r="E123" s="2" t="s">
        <v>12</v>
      </c>
      <c r="F123" s="2">
        <v>4</v>
      </c>
      <c r="G123" s="2">
        <v>23</v>
      </c>
      <c r="H123" s="2">
        <f t="shared" si="15"/>
        <v>92</v>
      </c>
      <c r="I123" s="2">
        <f>3+4</f>
        <v>7</v>
      </c>
      <c r="J123" s="2">
        <v>0</v>
      </c>
      <c r="K123" s="2">
        <f t="shared" si="12"/>
        <v>28</v>
      </c>
      <c r="L123" s="2">
        <f t="shared" si="13"/>
        <v>28</v>
      </c>
      <c r="M123" s="2">
        <f t="shared" si="14"/>
        <v>64</v>
      </c>
      <c r="N123" s="2" t="s">
        <v>177</v>
      </c>
      <c r="O123" s="18">
        <v>3945314</v>
      </c>
      <c r="P123" s="2" t="s">
        <v>89</v>
      </c>
      <c r="Q123" s="2">
        <v>2</v>
      </c>
      <c r="R123" s="19">
        <v>45817</v>
      </c>
      <c r="S123" s="19">
        <v>46547</v>
      </c>
      <c r="T123" s="19">
        <v>45868</v>
      </c>
      <c r="U123" s="3">
        <f t="shared" si="16"/>
        <v>679</v>
      </c>
      <c r="V123" s="3" t="str">
        <f t="shared" si="17"/>
        <v>Not Expired</v>
      </c>
      <c r="W123" s="3" t="str">
        <f t="shared" si="18"/>
        <v>Not Expire</v>
      </c>
      <c r="X123" s="3" t="s">
        <v>280</v>
      </c>
      <c r="Y123" s="3" t="str">
        <f>VLOOKUP(O123,[5]Working!$F:$Q,12,0)</f>
        <v>DFIPL Purchase</v>
      </c>
      <c r="Z123" s="2"/>
      <c r="AA123" s="2" t="s">
        <v>116</v>
      </c>
      <c r="AB123" t="s">
        <v>304</v>
      </c>
    </row>
    <row r="124" spans="1:28" ht="18.600000000000001" customHeight="1" x14ac:dyDescent="0.3">
      <c r="A124" s="27">
        <v>93</v>
      </c>
      <c r="B124" s="2" t="s">
        <v>250</v>
      </c>
      <c r="C124" s="2" t="s">
        <v>22</v>
      </c>
      <c r="D124" s="2" t="s">
        <v>11</v>
      </c>
      <c r="E124" s="2" t="s">
        <v>12</v>
      </c>
      <c r="F124" s="2">
        <v>4</v>
      </c>
      <c r="G124" s="2">
        <v>57</v>
      </c>
      <c r="H124" s="2">
        <f t="shared" si="15"/>
        <v>228</v>
      </c>
      <c r="I124" s="2">
        <f>3+3+3+4+3+3+3+3+3+9+3</f>
        <v>40</v>
      </c>
      <c r="J124" s="2">
        <v>0</v>
      </c>
      <c r="K124" s="2">
        <f t="shared" si="12"/>
        <v>160</v>
      </c>
      <c r="L124" s="2">
        <f t="shared" si="13"/>
        <v>160</v>
      </c>
      <c r="M124" s="2">
        <f t="shared" si="14"/>
        <v>68</v>
      </c>
      <c r="N124" s="2" t="s">
        <v>177</v>
      </c>
      <c r="O124" s="18">
        <v>3945313</v>
      </c>
      <c r="P124" s="2" t="s">
        <v>26</v>
      </c>
      <c r="Q124" s="2">
        <v>1</v>
      </c>
      <c r="R124" s="19">
        <v>45817</v>
      </c>
      <c r="S124" s="19">
        <v>46547</v>
      </c>
      <c r="T124" s="19">
        <v>45868</v>
      </c>
      <c r="U124" s="3">
        <f t="shared" si="16"/>
        <v>679</v>
      </c>
      <c r="V124" s="3" t="str">
        <f t="shared" si="17"/>
        <v>Not Expired</v>
      </c>
      <c r="W124" s="3" t="str">
        <f t="shared" si="18"/>
        <v>Not Expire</v>
      </c>
      <c r="X124" s="3" t="s">
        <v>280</v>
      </c>
      <c r="Y124" s="3" t="str">
        <f>VLOOKUP(O124,[5]Working!$F:$Q,12,0)</f>
        <v>DFIPL Purchase</v>
      </c>
      <c r="Z124" s="2"/>
      <c r="AA124" s="2" t="s">
        <v>116</v>
      </c>
      <c r="AB124" t="s">
        <v>318</v>
      </c>
    </row>
    <row r="125" spans="1:28" ht="18.600000000000001" customHeight="1" x14ac:dyDescent="0.3">
      <c r="A125" s="27">
        <v>97</v>
      </c>
      <c r="B125" s="2" t="s">
        <v>209</v>
      </c>
      <c r="C125" s="2" t="s">
        <v>29</v>
      </c>
      <c r="D125" s="2" t="s">
        <v>24</v>
      </c>
      <c r="E125" s="2" t="s">
        <v>12</v>
      </c>
      <c r="F125" s="2">
        <v>16</v>
      </c>
      <c r="G125" s="18">
        <f>75+35</f>
        <v>110</v>
      </c>
      <c r="H125" s="18">
        <f t="shared" si="15"/>
        <v>1760</v>
      </c>
      <c r="I125" s="18">
        <f>11+11+9</f>
        <v>31</v>
      </c>
      <c r="J125" s="18">
        <v>0</v>
      </c>
      <c r="K125" s="2">
        <f t="shared" si="12"/>
        <v>496</v>
      </c>
      <c r="L125" s="2">
        <f t="shared" si="13"/>
        <v>496</v>
      </c>
      <c r="M125" s="2">
        <f t="shared" si="14"/>
        <v>1264</v>
      </c>
      <c r="N125" s="18" t="s">
        <v>177</v>
      </c>
      <c r="O125" s="18">
        <v>3945298</v>
      </c>
      <c r="P125" s="33" t="s">
        <v>26</v>
      </c>
      <c r="Q125" s="2">
        <v>1</v>
      </c>
      <c r="R125" s="19">
        <v>45817</v>
      </c>
      <c r="S125" s="19">
        <v>46547</v>
      </c>
      <c r="T125" s="19">
        <v>45868</v>
      </c>
      <c r="U125" s="3">
        <f t="shared" si="16"/>
        <v>679</v>
      </c>
      <c r="V125" s="3" t="str">
        <f t="shared" si="17"/>
        <v>Not Expired</v>
      </c>
      <c r="W125" s="3" t="str">
        <f t="shared" si="18"/>
        <v>Not Expire</v>
      </c>
      <c r="X125" s="3" t="s">
        <v>280</v>
      </c>
      <c r="Y125" s="3" t="str">
        <f>VLOOKUP(O125,[5]Working!$F:$Q,12,0)</f>
        <v>DFIPL Purchase</v>
      </c>
      <c r="Z125" s="2"/>
      <c r="AA125" s="2" t="s">
        <v>116</v>
      </c>
      <c r="AB125" t="s">
        <v>317</v>
      </c>
    </row>
    <row r="126" spans="1:28" ht="18.600000000000001" customHeight="1" x14ac:dyDescent="0.3">
      <c r="A126" s="27">
        <v>121</v>
      </c>
      <c r="B126" s="2" t="s">
        <v>247</v>
      </c>
      <c r="C126" s="2" t="s">
        <v>80</v>
      </c>
      <c r="D126" s="2" t="s">
        <v>24</v>
      </c>
      <c r="E126" s="2" t="s">
        <v>12</v>
      </c>
      <c r="F126" s="2">
        <v>16</v>
      </c>
      <c r="G126" s="2">
        <v>27</v>
      </c>
      <c r="H126" s="2">
        <f t="shared" si="15"/>
        <v>432</v>
      </c>
      <c r="I126" s="2">
        <f>3+3</f>
        <v>6</v>
      </c>
      <c r="J126" s="2">
        <v>0</v>
      </c>
      <c r="K126" s="2">
        <f t="shared" si="12"/>
        <v>96</v>
      </c>
      <c r="L126" s="2">
        <f t="shared" si="13"/>
        <v>96</v>
      </c>
      <c r="M126" s="2">
        <f t="shared" si="14"/>
        <v>336</v>
      </c>
      <c r="N126" s="2" t="s">
        <v>177</v>
      </c>
      <c r="O126" s="18">
        <v>3945299</v>
      </c>
      <c r="P126" s="2" t="s">
        <v>26</v>
      </c>
      <c r="Q126" s="2">
        <v>1</v>
      </c>
      <c r="R126" s="19">
        <v>45817</v>
      </c>
      <c r="S126" s="19">
        <v>46547</v>
      </c>
      <c r="T126" s="19">
        <v>45868</v>
      </c>
      <c r="U126" s="3">
        <f t="shared" si="16"/>
        <v>679</v>
      </c>
      <c r="V126" s="3" t="str">
        <f t="shared" si="17"/>
        <v>Not Expired</v>
      </c>
      <c r="W126" s="3" t="str">
        <f t="shared" si="18"/>
        <v>Not Expire</v>
      </c>
      <c r="X126" s="3" t="s">
        <v>280</v>
      </c>
      <c r="Y126" s="3" t="str">
        <f>VLOOKUP(O126,[5]Working!$F:$Q,12,0)</f>
        <v>DFIPL Purchase</v>
      </c>
      <c r="Z126" s="2"/>
      <c r="AA126" s="2" t="s">
        <v>116</v>
      </c>
      <c r="AB126" t="s">
        <v>319</v>
      </c>
    </row>
    <row r="127" spans="1:28" ht="18.600000000000001" customHeight="1" x14ac:dyDescent="0.3">
      <c r="A127" s="27">
        <v>125</v>
      </c>
      <c r="B127" s="2" t="s">
        <v>250</v>
      </c>
      <c r="C127" s="2" t="s">
        <v>22</v>
      </c>
      <c r="D127" s="2" t="s">
        <v>11</v>
      </c>
      <c r="E127" s="2" t="s">
        <v>12</v>
      </c>
      <c r="F127" s="2">
        <v>4</v>
      </c>
      <c r="G127" s="2">
        <f>18+(21*3)+2</f>
        <v>83</v>
      </c>
      <c r="H127" s="2">
        <f t="shared" ref="H127:H183" si="19">F127*G127</f>
        <v>332</v>
      </c>
      <c r="I127" s="2">
        <v>25</v>
      </c>
      <c r="J127" s="2">
        <v>100</v>
      </c>
      <c r="K127" s="2">
        <f t="shared" si="12"/>
        <v>100</v>
      </c>
      <c r="L127" s="2">
        <f t="shared" si="13"/>
        <v>0</v>
      </c>
      <c r="M127" s="2">
        <f t="shared" si="14"/>
        <v>232</v>
      </c>
      <c r="N127" s="2" t="s">
        <v>178</v>
      </c>
      <c r="O127" s="18">
        <v>3945313</v>
      </c>
      <c r="P127" s="2" t="s">
        <v>26</v>
      </c>
      <c r="Q127" s="2">
        <v>1</v>
      </c>
      <c r="R127" s="19">
        <v>45817</v>
      </c>
      <c r="S127" s="19">
        <v>46547</v>
      </c>
      <c r="T127" s="19">
        <v>45868</v>
      </c>
      <c r="U127" s="3">
        <f t="shared" si="16"/>
        <v>679</v>
      </c>
      <c r="V127" s="3" t="str">
        <f t="shared" si="17"/>
        <v>Not Expired</v>
      </c>
      <c r="W127" s="3" t="str">
        <f t="shared" si="18"/>
        <v>Not Expire</v>
      </c>
      <c r="X127" s="3" t="s">
        <v>280</v>
      </c>
      <c r="Y127" s="3" t="str">
        <f>VLOOKUP(O127,[5]Working!$F:$Q,12,0)</f>
        <v>DFIPL Purchase</v>
      </c>
      <c r="Z127" s="2"/>
      <c r="AA127" s="2" t="s">
        <v>116</v>
      </c>
    </row>
    <row r="128" spans="1:28" ht="18.600000000000001" customHeight="1" x14ac:dyDescent="0.3">
      <c r="A128" s="2">
        <v>100</v>
      </c>
      <c r="B128" s="2" t="s">
        <v>218</v>
      </c>
      <c r="C128" s="2" t="s">
        <v>25</v>
      </c>
      <c r="D128" s="2"/>
      <c r="E128" s="2" t="s">
        <v>12</v>
      </c>
      <c r="F128" s="2">
        <v>20</v>
      </c>
      <c r="G128" s="2">
        <v>2</v>
      </c>
      <c r="H128" s="2">
        <f t="shared" si="19"/>
        <v>40</v>
      </c>
      <c r="I128" s="2"/>
      <c r="J128" s="2">
        <v>0</v>
      </c>
      <c r="K128" s="2">
        <f t="shared" si="12"/>
        <v>0</v>
      </c>
      <c r="L128" s="2">
        <f t="shared" si="13"/>
        <v>0</v>
      </c>
      <c r="M128" s="2">
        <f t="shared" si="14"/>
        <v>40</v>
      </c>
      <c r="N128" s="2" t="s">
        <v>178</v>
      </c>
      <c r="O128" s="18">
        <v>3218585</v>
      </c>
      <c r="P128" s="2" t="s">
        <v>15</v>
      </c>
      <c r="Q128" s="2">
        <v>4</v>
      </c>
      <c r="R128" s="19">
        <v>45132</v>
      </c>
      <c r="S128" s="19">
        <v>46592</v>
      </c>
      <c r="T128" s="19">
        <v>45868</v>
      </c>
      <c r="U128" s="3">
        <f t="shared" si="16"/>
        <v>724</v>
      </c>
      <c r="V128" s="3" t="str">
        <f t="shared" si="17"/>
        <v>Not Expired</v>
      </c>
      <c r="W128" s="3" t="str">
        <f t="shared" si="18"/>
        <v>Not Expire</v>
      </c>
      <c r="X128" s="3" t="s">
        <v>280</v>
      </c>
      <c r="Y128" s="3" t="str">
        <f>VLOOKUP(O128,[5]Working!$F:$Q,12,0)</f>
        <v>DFIPL Purchase</v>
      </c>
      <c r="Z128" s="2"/>
      <c r="AA128" s="2" t="s">
        <v>116</v>
      </c>
    </row>
    <row r="129" spans="1:28" ht="18.600000000000001" customHeight="1" x14ac:dyDescent="0.3">
      <c r="A129" s="2">
        <v>171</v>
      </c>
      <c r="B129" s="2" t="s">
        <v>230</v>
      </c>
      <c r="C129" s="2" t="s">
        <v>20</v>
      </c>
      <c r="D129" s="2" t="s">
        <v>11</v>
      </c>
      <c r="E129" s="2" t="s">
        <v>12</v>
      </c>
      <c r="F129" s="2">
        <v>3.3</v>
      </c>
      <c r="G129" s="2">
        <v>4</v>
      </c>
      <c r="H129" s="2">
        <f t="shared" si="19"/>
        <v>13.2</v>
      </c>
      <c r="I129" s="2"/>
      <c r="J129" s="2">
        <v>0</v>
      </c>
      <c r="K129" s="2">
        <f t="shared" si="12"/>
        <v>0</v>
      </c>
      <c r="L129" s="2">
        <f t="shared" si="13"/>
        <v>0</v>
      </c>
      <c r="M129" s="2">
        <f t="shared" si="14"/>
        <v>13.2</v>
      </c>
      <c r="N129" s="2" t="s">
        <v>178</v>
      </c>
      <c r="O129" s="18">
        <v>3221566</v>
      </c>
      <c r="P129" s="2" t="s">
        <v>90</v>
      </c>
      <c r="Q129" s="2">
        <v>2</v>
      </c>
      <c r="R129" s="19">
        <v>45134</v>
      </c>
      <c r="S129" s="19">
        <v>46594</v>
      </c>
      <c r="T129" s="19">
        <v>45868</v>
      </c>
      <c r="U129" s="3">
        <f t="shared" si="16"/>
        <v>726</v>
      </c>
      <c r="V129" s="3" t="str">
        <f t="shared" si="17"/>
        <v>Not Expired</v>
      </c>
      <c r="W129" s="3" t="str">
        <f t="shared" si="18"/>
        <v>Not Expire</v>
      </c>
      <c r="X129" s="3" t="s">
        <v>280</v>
      </c>
      <c r="Y129" s="3" t="str">
        <f>VLOOKUP(O129,[5]Working!$F:$Q,12,0)</f>
        <v>DFIPL Purchase</v>
      </c>
      <c r="Z129" s="2" t="s">
        <v>101</v>
      </c>
      <c r="AA129" s="2" t="s">
        <v>119</v>
      </c>
    </row>
    <row r="130" spans="1:28" ht="18.600000000000001" hidden="1" customHeight="1" x14ac:dyDescent="0.3">
      <c r="A130" s="2">
        <v>213</v>
      </c>
      <c r="B130" s="2" t="s">
        <v>251</v>
      </c>
      <c r="C130" s="2" t="s">
        <v>28</v>
      </c>
      <c r="D130" s="2" t="s">
        <v>24</v>
      </c>
      <c r="E130" s="2" t="s">
        <v>12</v>
      </c>
      <c r="F130" s="2">
        <v>4.17</v>
      </c>
      <c r="G130" s="2">
        <v>4</v>
      </c>
      <c r="H130" s="2">
        <f t="shared" si="19"/>
        <v>16.68</v>
      </c>
      <c r="I130" s="2"/>
      <c r="J130" s="2">
        <v>0</v>
      </c>
      <c r="K130" s="2">
        <f t="shared" si="12"/>
        <v>0</v>
      </c>
      <c r="L130" s="2">
        <f t="shared" si="13"/>
        <v>0</v>
      </c>
      <c r="M130" s="2">
        <f t="shared" si="14"/>
        <v>16.68</v>
      </c>
      <c r="N130" s="2" t="s">
        <v>178</v>
      </c>
      <c r="O130" s="18">
        <v>3221542</v>
      </c>
      <c r="P130" s="2" t="s">
        <v>90</v>
      </c>
      <c r="Q130" s="2">
        <v>2</v>
      </c>
      <c r="R130" s="19">
        <v>45135</v>
      </c>
      <c r="S130" s="19">
        <v>46595</v>
      </c>
      <c r="T130" s="19">
        <v>45868</v>
      </c>
      <c r="U130" s="3">
        <f t="shared" si="16"/>
        <v>727</v>
      </c>
      <c r="V130" s="3" t="str">
        <f t="shared" si="17"/>
        <v>Not Expired</v>
      </c>
      <c r="W130" s="3" t="str">
        <f t="shared" si="18"/>
        <v>Not Expire</v>
      </c>
      <c r="X130" s="3" t="s">
        <v>281</v>
      </c>
      <c r="Y130" s="3" t="e">
        <f>VLOOKUP(O130,[5]Working!$F:$Q,12,0)</f>
        <v>#N/A</v>
      </c>
      <c r="Z130" s="2"/>
      <c r="AA130" s="2" t="s">
        <v>116</v>
      </c>
    </row>
    <row r="131" spans="1:28" ht="18.600000000000001" hidden="1" customHeight="1" x14ac:dyDescent="0.3">
      <c r="A131" s="2">
        <v>159</v>
      </c>
      <c r="B131" s="2" t="s">
        <v>218</v>
      </c>
      <c r="C131" s="2" t="s">
        <v>25</v>
      </c>
      <c r="D131" s="2"/>
      <c r="E131" s="2" t="s">
        <v>12</v>
      </c>
      <c r="F131" s="2">
        <v>20</v>
      </c>
      <c r="G131" s="2">
        <v>16</v>
      </c>
      <c r="H131" s="2">
        <f t="shared" si="19"/>
        <v>320</v>
      </c>
      <c r="I131" s="2">
        <v>2</v>
      </c>
      <c r="J131" s="2">
        <v>0</v>
      </c>
      <c r="K131" s="2">
        <f t="shared" si="12"/>
        <v>40</v>
      </c>
      <c r="L131" s="2">
        <f t="shared" si="13"/>
        <v>40</v>
      </c>
      <c r="M131" s="2">
        <f t="shared" si="14"/>
        <v>280</v>
      </c>
      <c r="N131" s="2" t="s">
        <v>177</v>
      </c>
      <c r="O131" s="18">
        <v>3243690</v>
      </c>
      <c r="P131" s="2" t="s">
        <v>90</v>
      </c>
      <c r="Q131" s="2">
        <v>2</v>
      </c>
      <c r="R131" s="19">
        <v>45156</v>
      </c>
      <c r="S131" s="19">
        <v>46616</v>
      </c>
      <c r="T131" s="19">
        <v>45868</v>
      </c>
      <c r="U131" s="3">
        <f t="shared" si="16"/>
        <v>748</v>
      </c>
      <c r="V131" s="3" t="str">
        <f t="shared" si="17"/>
        <v>Not Expired</v>
      </c>
      <c r="W131" s="3" t="str">
        <f t="shared" si="18"/>
        <v>Not Expire</v>
      </c>
      <c r="X131" s="3" t="s">
        <v>281</v>
      </c>
      <c r="Y131" s="3"/>
      <c r="Z131" s="2"/>
      <c r="AA131" s="2" t="s">
        <v>116</v>
      </c>
      <c r="AB131" t="s">
        <v>305</v>
      </c>
    </row>
    <row r="132" spans="1:28" ht="18.600000000000001" customHeight="1" x14ac:dyDescent="0.3">
      <c r="A132" s="2">
        <v>35</v>
      </c>
      <c r="B132" s="2" t="s">
        <v>249</v>
      </c>
      <c r="C132" s="2" t="s">
        <v>38</v>
      </c>
      <c r="D132" s="2"/>
      <c r="E132" s="2" t="s">
        <v>12</v>
      </c>
      <c r="F132" s="2">
        <v>5</v>
      </c>
      <c r="G132" s="2">
        <v>1</v>
      </c>
      <c r="H132" s="2">
        <f t="shared" si="19"/>
        <v>5</v>
      </c>
      <c r="I132" s="2"/>
      <c r="J132" s="2">
        <v>0</v>
      </c>
      <c r="K132" s="2">
        <f t="shared" ref="K132:K195" si="20">I132*F132</f>
        <v>0</v>
      </c>
      <c r="L132" s="2">
        <f t="shared" ref="L132:L195" si="21">K132-J132</f>
        <v>0</v>
      </c>
      <c r="M132" s="2">
        <f t="shared" ref="M132:M195" si="22">H132-K132</f>
        <v>5</v>
      </c>
      <c r="N132" s="2" t="s">
        <v>177</v>
      </c>
      <c r="O132" s="18">
        <v>3260696</v>
      </c>
      <c r="P132" s="2" t="s">
        <v>15</v>
      </c>
      <c r="Q132" s="2">
        <v>4</v>
      </c>
      <c r="R132" s="19">
        <v>45175</v>
      </c>
      <c r="S132" s="19">
        <v>46635</v>
      </c>
      <c r="T132" s="19">
        <v>45868</v>
      </c>
      <c r="U132" s="3">
        <f t="shared" si="16"/>
        <v>767</v>
      </c>
      <c r="V132" s="3" t="str">
        <f t="shared" si="17"/>
        <v>Not Expired</v>
      </c>
      <c r="W132" s="3" t="str">
        <f t="shared" si="18"/>
        <v>Not Expire</v>
      </c>
      <c r="X132" s="3" t="s">
        <v>280</v>
      </c>
      <c r="Y132" s="3" t="str">
        <f>VLOOKUP(O132,[5]Working!$F:$Q,12,0)</f>
        <v>DFIPL Purchase</v>
      </c>
      <c r="Z132" s="2" t="s">
        <v>112</v>
      </c>
      <c r="AA132" s="2" t="s">
        <v>118</v>
      </c>
    </row>
    <row r="133" spans="1:28" ht="18.600000000000001" customHeight="1" x14ac:dyDescent="0.3">
      <c r="A133" s="2">
        <v>34</v>
      </c>
      <c r="B133" s="2" t="s">
        <v>218</v>
      </c>
      <c r="C133" s="2" t="s">
        <v>37</v>
      </c>
      <c r="D133" s="2"/>
      <c r="E133" s="2" t="s">
        <v>12</v>
      </c>
      <c r="F133" s="2">
        <v>5</v>
      </c>
      <c r="G133" s="2">
        <v>1</v>
      </c>
      <c r="H133" s="2">
        <f t="shared" si="19"/>
        <v>5</v>
      </c>
      <c r="I133" s="2"/>
      <c r="J133" s="2">
        <v>0</v>
      </c>
      <c r="K133" s="2">
        <f t="shared" si="20"/>
        <v>0</v>
      </c>
      <c r="L133" s="2">
        <f t="shared" si="21"/>
        <v>0</v>
      </c>
      <c r="M133" s="2">
        <f t="shared" si="22"/>
        <v>5</v>
      </c>
      <c r="N133" s="2" t="s">
        <v>177</v>
      </c>
      <c r="O133" s="18">
        <v>3296904</v>
      </c>
      <c r="P133" s="2" t="s">
        <v>15</v>
      </c>
      <c r="Q133" s="2">
        <v>4</v>
      </c>
      <c r="R133" s="19">
        <v>45210</v>
      </c>
      <c r="S133" s="19">
        <v>46670</v>
      </c>
      <c r="T133" s="19">
        <v>45868</v>
      </c>
      <c r="U133" s="3">
        <f t="shared" si="16"/>
        <v>802</v>
      </c>
      <c r="V133" s="3" t="str">
        <f t="shared" si="17"/>
        <v>Not Expired</v>
      </c>
      <c r="W133" s="3" t="str">
        <f t="shared" si="18"/>
        <v>Not Expire</v>
      </c>
      <c r="X133" s="3" t="s">
        <v>280</v>
      </c>
      <c r="Y133" s="3" t="str">
        <f>VLOOKUP(O133,[5]Working!$F:$Q,12,0)</f>
        <v>DFIPL Purchase</v>
      </c>
      <c r="Z133" s="2"/>
      <c r="AA133" s="2" t="s">
        <v>116</v>
      </c>
    </row>
    <row r="134" spans="1:28" ht="18.600000000000001" hidden="1" customHeight="1" x14ac:dyDescent="0.3">
      <c r="A134" s="2">
        <v>41</v>
      </c>
      <c r="B134" s="2" t="s">
        <v>172</v>
      </c>
      <c r="C134" s="2" t="s">
        <v>39</v>
      </c>
      <c r="D134" s="2" t="s">
        <v>11</v>
      </c>
      <c r="E134" s="2" t="s">
        <v>12</v>
      </c>
      <c r="F134" s="2">
        <v>1.8</v>
      </c>
      <c r="G134" s="2">
        <v>3</v>
      </c>
      <c r="H134" s="2">
        <f t="shared" si="19"/>
        <v>5.4</v>
      </c>
      <c r="I134" s="2"/>
      <c r="J134" s="2">
        <v>0</v>
      </c>
      <c r="K134" s="2">
        <f t="shared" si="20"/>
        <v>0</v>
      </c>
      <c r="L134" s="2">
        <f t="shared" si="21"/>
        <v>0</v>
      </c>
      <c r="M134" s="2">
        <f t="shared" si="22"/>
        <v>5.4</v>
      </c>
      <c r="N134" s="2" t="s">
        <v>177</v>
      </c>
      <c r="O134" s="18">
        <v>3298358</v>
      </c>
      <c r="P134" s="2" t="s">
        <v>18</v>
      </c>
      <c r="Q134" s="2">
        <v>4</v>
      </c>
      <c r="R134" s="19">
        <v>44846</v>
      </c>
      <c r="S134" s="19">
        <v>46671</v>
      </c>
      <c r="T134" s="19">
        <v>45868</v>
      </c>
      <c r="U134" s="3">
        <f t="shared" si="16"/>
        <v>803</v>
      </c>
      <c r="V134" s="3" t="str">
        <f t="shared" si="17"/>
        <v>Not Expired</v>
      </c>
      <c r="W134" s="3" t="str">
        <f t="shared" si="18"/>
        <v>Not Expire</v>
      </c>
      <c r="X134" s="3" t="s">
        <v>281</v>
      </c>
      <c r="Y134" s="3" t="e">
        <f>VLOOKUP(O134,[5]Working!$F:$Q,12,0)</f>
        <v>#N/A</v>
      </c>
      <c r="Z134" s="2"/>
      <c r="AA134" s="2" t="s">
        <v>116</v>
      </c>
    </row>
    <row r="135" spans="1:28" s="24" customFormat="1" ht="18.600000000000001" customHeight="1" x14ac:dyDescent="0.3">
      <c r="A135" s="21">
        <v>160</v>
      </c>
      <c r="B135" s="15" t="s">
        <v>218</v>
      </c>
      <c r="C135" s="13" t="s">
        <v>286</v>
      </c>
      <c r="D135" s="21"/>
      <c r="E135" s="21" t="s">
        <v>12</v>
      </c>
      <c r="F135" s="21">
        <v>20</v>
      </c>
      <c r="G135" s="21">
        <v>1</v>
      </c>
      <c r="H135" s="21">
        <f t="shared" si="19"/>
        <v>20</v>
      </c>
      <c r="I135" s="21">
        <v>1</v>
      </c>
      <c r="J135" s="21">
        <v>0</v>
      </c>
      <c r="K135" s="2">
        <f t="shared" si="20"/>
        <v>20</v>
      </c>
      <c r="L135" s="2">
        <f t="shared" si="21"/>
        <v>20</v>
      </c>
      <c r="M135" s="2">
        <f t="shared" si="22"/>
        <v>0</v>
      </c>
      <c r="N135" s="21" t="s">
        <v>177</v>
      </c>
      <c r="O135" s="22">
        <v>3243690</v>
      </c>
      <c r="P135" s="21" t="s">
        <v>90</v>
      </c>
      <c r="Q135" s="21">
        <v>2</v>
      </c>
      <c r="R135" s="23">
        <v>45629</v>
      </c>
      <c r="S135" s="23">
        <v>46785</v>
      </c>
      <c r="T135" s="19">
        <v>45868</v>
      </c>
      <c r="U135" s="3">
        <f t="shared" si="16"/>
        <v>917</v>
      </c>
      <c r="V135" s="3" t="str">
        <f t="shared" si="17"/>
        <v>Not Expired</v>
      </c>
      <c r="W135" s="3" t="str">
        <f t="shared" si="18"/>
        <v>Not Expire</v>
      </c>
      <c r="X135" s="3" t="s">
        <v>280</v>
      </c>
      <c r="Y135" s="3" t="str">
        <f>VLOOKUP(O135,[5]Working!$F:$Q,12,0)</f>
        <v>DFIPL Purchase</v>
      </c>
      <c r="Z135" s="2"/>
      <c r="AA135" s="2" t="s">
        <v>116</v>
      </c>
      <c r="AB135" t="s">
        <v>292</v>
      </c>
    </row>
    <row r="136" spans="1:28" ht="18.600000000000001" customHeight="1" x14ac:dyDescent="0.3">
      <c r="A136" s="2">
        <v>29</v>
      </c>
      <c r="B136" s="2" t="s">
        <v>252</v>
      </c>
      <c r="C136" s="2" t="s">
        <v>36</v>
      </c>
      <c r="D136" s="2" t="s">
        <v>24</v>
      </c>
      <c r="E136" s="2" t="s">
        <v>12</v>
      </c>
      <c r="F136" s="2">
        <v>16.399999999999999</v>
      </c>
      <c r="G136" s="2">
        <v>1</v>
      </c>
      <c r="H136" s="2">
        <f t="shared" si="19"/>
        <v>16.399999999999999</v>
      </c>
      <c r="I136" s="2"/>
      <c r="J136" s="2">
        <v>0</v>
      </c>
      <c r="K136" s="2">
        <f t="shared" si="20"/>
        <v>0</v>
      </c>
      <c r="L136" s="2">
        <f t="shared" si="21"/>
        <v>0</v>
      </c>
      <c r="M136" s="2">
        <f t="shared" si="22"/>
        <v>16.399999999999999</v>
      </c>
      <c r="N136" s="2" t="s">
        <v>177</v>
      </c>
      <c r="O136" s="18">
        <v>3435264</v>
      </c>
      <c r="P136" s="2" t="s">
        <v>15</v>
      </c>
      <c r="Q136" s="2">
        <v>4</v>
      </c>
      <c r="R136" s="19">
        <v>45349</v>
      </c>
      <c r="S136" s="19">
        <v>46809</v>
      </c>
      <c r="T136" s="19">
        <v>45868</v>
      </c>
      <c r="U136" s="3">
        <f t="shared" si="16"/>
        <v>941</v>
      </c>
      <c r="V136" s="3" t="str">
        <f t="shared" si="17"/>
        <v>Not Expired</v>
      </c>
      <c r="W136" s="3" t="str">
        <f t="shared" si="18"/>
        <v>Not Expire</v>
      </c>
      <c r="X136" s="3" t="s">
        <v>280</v>
      </c>
      <c r="Y136" s="3" t="str">
        <f>VLOOKUP(O136,[5]Working!$F:$Q,12,0)</f>
        <v>DFIPL Purchase</v>
      </c>
      <c r="Z136" s="2"/>
      <c r="AA136" s="2" t="s">
        <v>116</v>
      </c>
    </row>
    <row r="137" spans="1:28" ht="18.600000000000001" customHeight="1" x14ac:dyDescent="0.3">
      <c r="A137" s="2">
        <v>36</v>
      </c>
      <c r="B137" s="2" t="s">
        <v>253</v>
      </c>
      <c r="C137" s="2" t="s">
        <v>39</v>
      </c>
      <c r="D137" s="2" t="s">
        <v>11</v>
      </c>
      <c r="E137" s="2" t="s">
        <v>12</v>
      </c>
      <c r="F137" s="2">
        <v>0.45</v>
      </c>
      <c r="G137" s="2">
        <v>1</v>
      </c>
      <c r="H137" s="2">
        <f t="shared" si="19"/>
        <v>0.45</v>
      </c>
      <c r="I137" s="2"/>
      <c r="J137" s="2">
        <v>0</v>
      </c>
      <c r="K137" s="2">
        <f t="shared" si="20"/>
        <v>0</v>
      </c>
      <c r="L137" s="2">
        <f t="shared" si="21"/>
        <v>0</v>
      </c>
      <c r="M137" s="2">
        <f t="shared" si="22"/>
        <v>0.45</v>
      </c>
      <c r="N137" s="2" t="s">
        <v>177</v>
      </c>
      <c r="O137" s="18">
        <v>3461087</v>
      </c>
      <c r="P137" s="2" t="s">
        <v>15</v>
      </c>
      <c r="Q137" s="2">
        <v>4</v>
      </c>
      <c r="R137" s="19">
        <v>45372</v>
      </c>
      <c r="S137" s="19">
        <v>46832</v>
      </c>
      <c r="T137" s="19">
        <v>45868</v>
      </c>
      <c r="U137" s="3">
        <f t="shared" si="16"/>
        <v>964</v>
      </c>
      <c r="V137" s="3" t="str">
        <f t="shared" si="17"/>
        <v>Not Expired</v>
      </c>
      <c r="W137" s="3" t="str">
        <f t="shared" si="18"/>
        <v>Not Expire</v>
      </c>
      <c r="X137" s="3" t="s">
        <v>280</v>
      </c>
      <c r="Y137" s="3" t="str">
        <f>VLOOKUP(O137,[5]Working!$F:$Q,12,0)</f>
        <v>DFIPL Purchase</v>
      </c>
      <c r="Z137" s="2"/>
      <c r="AA137" s="2" t="s">
        <v>116</v>
      </c>
    </row>
    <row r="138" spans="1:28" ht="18.600000000000001" customHeight="1" x14ac:dyDescent="0.3">
      <c r="A138" s="2">
        <v>193</v>
      </c>
      <c r="B138" s="2" t="s">
        <v>186</v>
      </c>
      <c r="C138" s="2" t="s">
        <v>94</v>
      </c>
      <c r="D138" s="2" t="s">
        <v>24</v>
      </c>
      <c r="E138" s="2" t="s">
        <v>12</v>
      </c>
      <c r="F138" s="2">
        <v>16.7</v>
      </c>
      <c r="G138" s="2">
        <v>5</v>
      </c>
      <c r="H138" s="2">
        <f t="shared" si="19"/>
        <v>83.5</v>
      </c>
      <c r="I138" s="2"/>
      <c r="J138" s="2">
        <v>0</v>
      </c>
      <c r="K138" s="2">
        <f t="shared" si="20"/>
        <v>0</v>
      </c>
      <c r="L138" s="2">
        <f t="shared" si="21"/>
        <v>0</v>
      </c>
      <c r="M138" s="2">
        <f t="shared" si="22"/>
        <v>83.5</v>
      </c>
      <c r="N138" s="2" t="s">
        <v>177</v>
      </c>
      <c r="O138" s="18">
        <v>3463648</v>
      </c>
      <c r="P138" s="2" t="s">
        <v>89</v>
      </c>
      <c r="Q138" s="2">
        <v>2</v>
      </c>
      <c r="R138" s="19">
        <v>45373</v>
      </c>
      <c r="S138" s="19">
        <v>46833</v>
      </c>
      <c r="T138" s="19">
        <v>45868</v>
      </c>
      <c r="U138" s="3">
        <f t="shared" si="16"/>
        <v>965</v>
      </c>
      <c r="V138" s="3" t="str">
        <f t="shared" si="17"/>
        <v>Not Expired</v>
      </c>
      <c r="W138" s="3" t="str">
        <f t="shared" si="18"/>
        <v>Not Expire</v>
      </c>
      <c r="X138" s="3" t="s">
        <v>280</v>
      </c>
      <c r="Y138" s="3" t="str">
        <f>VLOOKUP(O138,[5]Working!$F:$Q,12,0)</f>
        <v>DFIPL Purchase</v>
      </c>
      <c r="Z138" s="2"/>
      <c r="AA138" s="2" t="s">
        <v>116</v>
      </c>
    </row>
    <row r="139" spans="1:28" ht="18.600000000000001" hidden="1" customHeight="1" x14ac:dyDescent="0.3">
      <c r="A139" s="2">
        <v>42</v>
      </c>
      <c r="B139" s="2" t="s">
        <v>172</v>
      </c>
      <c r="C139" s="2" t="s">
        <v>172</v>
      </c>
      <c r="D139" s="2" t="s">
        <v>11</v>
      </c>
      <c r="E139" s="2" t="s">
        <v>12</v>
      </c>
      <c r="F139" s="2">
        <v>1.8</v>
      </c>
      <c r="G139" s="2">
        <v>12</v>
      </c>
      <c r="H139" s="2">
        <f t="shared" si="19"/>
        <v>21.6</v>
      </c>
      <c r="I139" s="2"/>
      <c r="J139" s="2">
        <v>0</v>
      </c>
      <c r="K139" s="2">
        <f t="shared" si="20"/>
        <v>0</v>
      </c>
      <c r="L139" s="2">
        <f t="shared" si="21"/>
        <v>0</v>
      </c>
      <c r="M139" s="2">
        <f t="shared" si="22"/>
        <v>21.6</v>
      </c>
      <c r="N139" s="2" t="s">
        <v>177</v>
      </c>
      <c r="O139" s="2">
        <v>3559198</v>
      </c>
      <c r="P139" s="2" t="s">
        <v>18</v>
      </c>
      <c r="Q139" s="2">
        <v>4</v>
      </c>
      <c r="R139" s="19">
        <v>45469</v>
      </c>
      <c r="S139" s="19">
        <v>46929</v>
      </c>
      <c r="T139" s="19">
        <v>45868</v>
      </c>
      <c r="U139" s="3">
        <f t="shared" si="16"/>
        <v>1061</v>
      </c>
      <c r="V139" s="3" t="str">
        <f t="shared" si="17"/>
        <v>Not Expired</v>
      </c>
      <c r="W139" s="3" t="str">
        <f t="shared" si="18"/>
        <v>Not Expire</v>
      </c>
      <c r="X139" s="3" t="s">
        <v>281</v>
      </c>
      <c r="Y139" s="3" t="e">
        <f>VLOOKUP(O139,[5]Working!$F:$Q,12,0)</f>
        <v>#N/A</v>
      </c>
      <c r="Z139" s="2"/>
      <c r="AA139" s="2" t="s">
        <v>116</v>
      </c>
    </row>
    <row r="140" spans="1:28" ht="18.600000000000001" hidden="1" customHeight="1" x14ac:dyDescent="0.3">
      <c r="A140" s="2">
        <v>68</v>
      </c>
      <c r="B140" s="2" t="s">
        <v>254</v>
      </c>
      <c r="C140" s="2" t="s">
        <v>42</v>
      </c>
      <c r="D140" s="2" t="s">
        <v>11</v>
      </c>
      <c r="E140" s="2" t="s">
        <v>12</v>
      </c>
      <c r="F140" s="2">
        <v>20</v>
      </c>
      <c r="G140" s="2">
        <v>3</v>
      </c>
      <c r="H140" s="2">
        <f t="shared" si="19"/>
        <v>60</v>
      </c>
      <c r="I140" s="27"/>
      <c r="J140" s="27">
        <v>0</v>
      </c>
      <c r="K140" s="2">
        <f t="shared" si="20"/>
        <v>0</v>
      </c>
      <c r="L140" s="2">
        <f t="shared" si="21"/>
        <v>0</v>
      </c>
      <c r="M140" s="2">
        <f t="shared" si="22"/>
        <v>60</v>
      </c>
      <c r="N140" s="2" t="s">
        <v>177</v>
      </c>
      <c r="O140" s="18">
        <v>73065170</v>
      </c>
      <c r="P140" s="2" t="s">
        <v>59</v>
      </c>
      <c r="Q140" s="2">
        <v>1</v>
      </c>
      <c r="R140" s="19">
        <v>45111</v>
      </c>
      <c r="S140" s="19">
        <v>46938</v>
      </c>
      <c r="T140" s="19">
        <v>45868</v>
      </c>
      <c r="U140" s="3">
        <f t="shared" si="16"/>
        <v>1070</v>
      </c>
      <c r="V140" s="3" t="str">
        <f t="shared" si="17"/>
        <v>Not Expired</v>
      </c>
      <c r="W140" s="3" t="str">
        <f t="shared" si="18"/>
        <v>Not Expire</v>
      </c>
      <c r="X140" s="3" t="s">
        <v>281</v>
      </c>
      <c r="Y140" s="3" t="e">
        <f>VLOOKUP(O140,[5]Working!$F:$Q,12,0)</f>
        <v>#N/A</v>
      </c>
      <c r="Z140" s="2"/>
      <c r="AA140" s="2" t="s">
        <v>116</v>
      </c>
      <c r="AB140" t="s">
        <v>158</v>
      </c>
    </row>
    <row r="141" spans="1:28" ht="18.600000000000001" customHeight="1" x14ac:dyDescent="0.3">
      <c r="A141" s="2">
        <v>28</v>
      </c>
      <c r="B141" s="2" t="s">
        <v>255</v>
      </c>
      <c r="C141" s="2" t="s">
        <v>33</v>
      </c>
      <c r="D141" s="2" t="s">
        <v>24</v>
      </c>
      <c r="E141" s="2" t="s">
        <v>12</v>
      </c>
      <c r="F141" s="2">
        <v>16.399999999999999</v>
      </c>
      <c r="G141" s="2">
        <v>2</v>
      </c>
      <c r="H141" s="2">
        <f t="shared" si="19"/>
        <v>32.799999999999997</v>
      </c>
      <c r="I141" s="2"/>
      <c r="J141" s="2">
        <v>0</v>
      </c>
      <c r="K141" s="2">
        <f t="shared" si="20"/>
        <v>0</v>
      </c>
      <c r="L141" s="2">
        <f t="shared" si="21"/>
        <v>0</v>
      </c>
      <c r="M141" s="2">
        <f t="shared" si="22"/>
        <v>32.799999999999997</v>
      </c>
      <c r="N141" s="2" t="s">
        <v>177</v>
      </c>
      <c r="O141" s="18">
        <v>3585994</v>
      </c>
      <c r="P141" s="2" t="s">
        <v>15</v>
      </c>
      <c r="Q141" s="2">
        <v>4</v>
      </c>
      <c r="R141" s="19">
        <v>45492</v>
      </c>
      <c r="S141" s="19">
        <v>46952</v>
      </c>
      <c r="T141" s="19">
        <v>45868</v>
      </c>
      <c r="U141" s="3">
        <f t="shared" si="16"/>
        <v>1084</v>
      </c>
      <c r="V141" s="3" t="str">
        <f t="shared" si="17"/>
        <v>Not Expired</v>
      </c>
      <c r="W141" s="3" t="str">
        <f t="shared" si="18"/>
        <v>Not Expire</v>
      </c>
      <c r="X141" s="3" t="s">
        <v>280</v>
      </c>
      <c r="Y141" s="3" t="str">
        <f>VLOOKUP(O141,[5]Working!$F:$Q,12,0)</f>
        <v>DFIPL Purchase</v>
      </c>
      <c r="Z141" s="2"/>
      <c r="AA141" s="2" t="s">
        <v>116</v>
      </c>
    </row>
    <row r="142" spans="1:28" ht="18.600000000000001" customHeight="1" x14ac:dyDescent="0.3">
      <c r="A142" s="2">
        <v>27</v>
      </c>
      <c r="B142" s="2" t="s">
        <v>256</v>
      </c>
      <c r="C142" s="2" t="s">
        <v>33</v>
      </c>
      <c r="D142" s="2" t="s">
        <v>24</v>
      </c>
      <c r="E142" s="2" t="s">
        <v>12</v>
      </c>
      <c r="F142" s="2">
        <v>16.399999999999999</v>
      </c>
      <c r="G142" s="2">
        <v>3</v>
      </c>
      <c r="H142" s="2">
        <f t="shared" si="19"/>
        <v>49.199999999999996</v>
      </c>
      <c r="I142" s="2"/>
      <c r="J142" s="2">
        <v>0</v>
      </c>
      <c r="K142" s="2">
        <f t="shared" si="20"/>
        <v>0</v>
      </c>
      <c r="L142" s="2">
        <f t="shared" si="21"/>
        <v>0</v>
      </c>
      <c r="M142" s="2">
        <f t="shared" si="22"/>
        <v>49.199999999999996</v>
      </c>
      <c r="N142" s="2" t="s">
        <v>177</v>
      </c>
      <c r="O142" s="18">
        <v>3586051</v>
      </c>
      <c r="P142" s="2" t="s">
        <v>15</v>
      </c>
      <c r="Q142" s="2">
        <v>4</v>
      </c>
      <c r="R142" s="19">
        <v>45493</v>
      </c>
      <c r="S142" s="19">
        <v>46953</v>
      </c>
      <c r="T142" s="19">
        <v>45868</v>
      </c>
      <c r="U142" s="3">
        <f t="shared" si="16"/>
        <v>1085</v>
      </c>
      <c r="V142" s="3" t="str">
        <f t="shared" si="17"/>
        <v>Not Expired</v>
      </c>
      <c r="W142" s="3" t="str">
        <f t="shared" si="18"/>
        <v>Not Expire</v>
      </c>
      <c r="X142" s="3" t="s">
        <v>280</v>
      </c>
      <c r="Y142" s="3" t="str">
        <f>VLOOKUP(O142,[5]Working!$F:$Q,12,0)</f>
        <v>DFIPL Purchase</v>
      </c>
      <c r="Z142" s="2"/>
      <c r="AA142" s="2" t="s">
        <v>116</v>
      </c>
    </row>
    <row r="143" spans="1:28" ht="18.600000000000001" customHeight="1" x14ac:dyDescent="0.3">
      <c r="A143" s="2">
        <v>37</v>
      </c>
      <c r="B143" s="2" t="s">
        <v>257</v>
      </c>
      <c r="C143" s="2" t="s">
        <v>40</v>
      </c>
      <c r="D143" s="2" t="s">
        <v>11</v>
      </c>
      <c r="E143" s="2" t="s">
        <v>12</v>
      </c>
      <c r="F143" s="2">
        <v>3.3</v>
      </c>
      <c r="G143" s="2">
        <v>1</v>
      </c>
      <c r="H143" s="2">
        <f t="shared" si="19"/>
        <v>3.3</v>
      </c>
      <c r="I143" s="2"/>
      <c r="J143" s="2">
        <v>0</v>
      </c>
      <c r="K143" s="2">
        <f t="shared" si="20"/>
        <v>0</v>
      </c>
      <c r="L143" s="2">
        <f t="shared" si="21"/>
        <v>0</v>
      </c>
      <c r="M143" s="2">
        <f t="shared" si="22"/>
        <v>3.3</v>
      </c>
      <c r="N143" s="2" t="s">
        <v>177</v>
      </c>
      <c r="O143" s="18">
        <v>3628964</v>
      </c>
      <c r="P143" s="2" t="s">
        <v>15</v>
      </c>
      <c r="Q143" s="2">
        <v>4</v>
      </c>
      <c r="R143" s="19">
        <v>45537</v>
      </c>
      <c r="S143" s="19">
        <v>46997</v>
      </c>
      <c r="T143" s="19">
        <v>45868</v>
      </c>
      <c r="U143" s="3">
        <f t="shared" si="16"/>
        <v>1129</v>
      </c>
      <c r="V143" s="3" t="str">
        <f t="shared" si="17"/>
        <v>Not Expired</v>
      </c>
      <c r="W143" s="3" t="str">
        <f t="shared" si="18"/>
        <v>Not Expire</v>
      </c>
      <c r="X143" s="3" t="s">
        <v>280</v>
      </c>
      <c r="Y143" s="3" t="str">
        <f>VLOOKUP(O143,[5]Working!$F:$Q,12,0)</f>
        <v>DFIPL Purchase</v>
      </c>
      <c r="Z143" s="2"/>
      <c r="AA143" s="2" t="s">
        <v>116</v>
      </c>
    </row>
    <row r="144" spans="1:28" ht="18.600000000000001" customHeight="1" x14ac:dyDescent="0.3">
      <c r="A144" s="2">
        <v>219</v>
      </c>
      <c r="B144" s="2" t="s">
        <v>258</v>
      </c>
      <c r="C144" s="2" t="s">
        <v>28</v>
      </c>
      <c r="D144" s="2" t="s">
        <v>24</v>
      </c>
      <c r="E144" s="2" t="s">
        <v>12</v>
      </c>
      <c r="F144" s="2">
        <v>16.7</v>
      </c>
      <c r="G144" s="2">
        <v>2</v>
      </c>
      <c r="H144" s="2">
        <f t="shared" si="19"/>
        <v>33.4</v>
      </c>
      <c r="I144" s="2"/>
      <c r="J144" s="2">
        <v>0</v>
      </c>
      <c r="K144" s="2">
        <f t="shared" si="20"/>
        <v>0</v>
      </c>
      <c r="L144" s="2">
        <f t="shared" si="21"/>
        <v>0</v>
      </c>
      <c r="M144" s="2">
        <f t="shared" si="22"/>
        <v>33.4</v>
      </c>
      <c r="N144" s="2" t="s">
        <v>177</v>
      </c>
      <c r="O144" s="18">
        <v>3628944</v>
      </c>
      <c r="P144" s="2" t="s">
        <v>89</v>
      </c>
      <c r="Q144" s="2">
        <v>2</v>
      </c>
      <c r="R144" s="19">
        <v>45537</v>
      </c>
      <c r="S144" s="19">
        <v>46997</v>
      </c>
      <c r="T144" s="19">
        <v>45868</v>
      </c>
      <c r="U144" s="3">
        <f t="shared" si="16"/>
        <v>1129</v>
      </c>
      <c r="V144" s="3" t="str">
        <f t="shared" si="17"/>
        <v>Not Expired</v>
      </c>
      <c r="W144" s="3" t="str">
        <f t="shared" si="18"/>
        <v>Not Expire</v>
      </c>
      <c r="X144" s="3" t="s">
        <v>280</v>
      </c>
      <c r="Y144" s="3" t="str">
        <f>VLOOKUP(O144,[5]Working!$F:$Q,12,0)</f>
        <v>DFIPL Purchase</v>
      </c>
      <c r="Z144" s="2"/>
      <c r="AA144" s="2" t="s">
        <v>116</v>
      </c>
    </row>
    <row r="145" spans="1:28" ht="18.600000000000001" customHeight="1" x14ac:dyDescent="0.3">
      <c r="A145" s="2">
        <v>119</v>
      </c>
      <c r="B145" s="2" t="s">
        <v>249</v>
      </c>
      <c r="C145" s="2" t="s">
        <v>27</v>
      </c>
      <c r="D145" s="2"/>
      <c r="E145" s="2" t="s">
        <v>12</v>
      </c>
      <c r="F145" s="2">
        <v>5</v>
      </c>
      <c r="G145" s="2">
        <v>1</v>
      </c>
      <c r="H145" s="2">
        <f t="shared" si="19"/>
        <v>5</v>
      </c>
      <c r="I145" s="2"/>
      <c r="J145" s="2">
        <v>0</v>
      </c>
      <c r="K145" s="2">
        <f t="shared" si="20"/>
        <v>0</v>
      </c>
      <c r="L145" s="2">
        <f t="shared" si="21"/>
        <v>0</v>
      </c>
      <c r="M145" s="2">
        <f t="shared" si="22"/>
        <v>5</v>
      </c>
      <c r="N145" s="2" t="s">
        <v>177</v>
      </c>
      <c r="O145" s="18">
        <v>3640958</v>
      </c>
      <c r="P145" s="2" t="s">
        <v>15</v>
      </c>
      <c r="Q145" s="2">
        <v>4</v>
      </c>
      <c r="R145" s="19">
        <v>45547</v>
      </c>
      <c r="S145" s="19">
        <v>47007</v>
      </c>
      <c r="T145" s="19">
        <v>45868</v>
      </c>
      <c r="U145" s="3">
        <f t="shared" si="16"/>
        <v>1139</v>
      </c>
      <c r="V145" s="3" t="str">
        <f t="shared" si="17"/>
        <v>Not Expired</v>
      </c>
      <c r="W145" s="3" t="str">
        <f t="shared" si="18"/>
        <v>Not Expire</v>
      </c>
      <c r="X145" s="3" t="s">
        <v>280</v>
      </c>
      <c r="Y145" s="3" t="str">
        <f>VLOOKUP(O145,[5]Working!$F:$Q,12,0)</f>
        <v>DFIPL Purchase</v>
      </c>
      <c r="Z145" s="2"/>
      <c r="AA145" s="2" t="s">
        <v>116</v>
      </c>
    </row>
    <row r="146" spans="1:28" ht="18.600000000000001" hidden="1" customHeight="1" x14ac:dyDescent="0.3">
      <c r="A146" s="2">
        <v>192</v>
      </c>
      <c r="B146" s="2" t="s">
        <v>259</v>
      </c>
      <c r="C146" s="2" t="s">
        <v>35</v>
      </c>
      <c r="D146" s="2" t="s">
        <v>24</v>
      </c>
      <c r="E146" s="2" t="s">
        <v>12</v>
      </c>
      <c r="F146" s="2">
        <v>15</v>
      </c>
      <c r="G146" s="2">
        <v>27</v>
      </c>
      <c r="H146" s="2">
        <f t="shared" si="19"/>
        <v>405</v>
      </c>
      <c r="I146" s="2"/>
      <c r="J146" s="2">
        <v>0</v>
      </c>
      <c r="K146" s="2">
        <f t="shared" si="20"/>
        <v>0</v>
      </c>
      <c r="L146" s="2">
        <f t="shared" si="21"/>
        <v>0</v>
      </c>
      <c r="M146" s="2">
        <f t="shared" si="22"/>
        <v>405</v>
      </c>
      <c r="N146" s="2" t="s">
        <v>177</v>
      </c>
      <c r="O146" s="18">
        <v>3641065</v>
      </c>
      <c r="P146" s="2" t="s">
        <v>18</v>
      </c>
      <c r="Q146" s="2">
        <v>4</v>
      </c>
      <c r="R146" s="19">
        <v>45547</v>
      </c>
      <c r="S146" s="19">
        <v>47007</v>
      </c>
      <c r="T146" s="19">
        <v>45868</v>
      </c>
      <c r="U146" s="3">
        <f t="shared" si="16"/>
        <v>1139</v>
      </c>
      <c r="V146" s="3" t="str">
        <f t="shared" si="17"/>
        <v>Not Expired</v>
      </c>
      <c r="W146" s="3" t="str">
        <f t="shared" si="18"/>
        <v>Not Expire</v>
      </c>
      <c r="X146" s="3" t="s">
        <v>281</v>
      </c>
      <c r="Y146" s="3" t="e">
        <f>VLOOKUP(O146,[5]Working!$F:$Q,12,0)</f>
        <v>#N/A</v>
      </c>
      <c r="Z146" s="2" t="s">
        <v>108</v>
      </c>
      <c r="AA146" s="2" t="s">
        <v>119</v>
      </c>
    </row>
    <row r="147" spans="1:28" ht="18.600000000000001" hidden="1" customHeight="1" x14ac:dyDescent="0.3">
      <c r="A147" s="2">
        <v>201</v>
      </c>
      <c r="B147" s="2" t="s">
        <v>260</v>
      </c>
      <c r="C147" s="2" t="s">
        <v>17</v>
      </c>
      <c r="D147" s="2" t="s">
        <v>11</v>
      </c>
      <c r="E147" s="2" t="s">
        <v>12</v>
      </c>
      <c r="F147" s="2">
        <v>5</v>
      </c>
      <c r="G147" s="2">
        <v>3</v>
      </c>
      <c r="H147" s="2">
        <f t="shared" si="19"/>
        <v>15</v>
      </c>
      <c r="I147" s="2"/>
      <c r="J147" s="2">
        <v>0</v>
      </c>
      <c r="K147" s="2">
        <f t="shared" si="20"/>
        <v>0</v>
      </c>
      <c r="L147" s="2">
        <f t="shared" si="21"/>
        <v>0</v>
      </c>
      <c r="M147" s="2">
        <f t="shared" si="22"/>
        <v>15</v>
      </c>
      <c r="N147" s="2" t="s">
        <v>177</v>
      </c>
      <c r="O147" s="18">
        <v>3640966</v>
      </c>
      <c r="P147" s="2" t="s">
        <v>18</v>
      </c>
      <c r="Q147" s="2">
        <v>4</v>
      </c>
      <c r="R147" s="19">
        <v>45547</v>
      </c>
      <c r="S147" s="19">
        <v>47007</v>
      </c>
      <c r="T147" s="19">
        <v>45868</v>
      </c>
      <c r="U147" s="3">
        <f t="shared" si="16"/>
        <v>1139</v>
      </c>
      <c r="V147" s="3" t="str">
        <f t="shared" si="17"/>
        <v>Not Expired</v>
      </c>
      <c r="W147" s="3" t="str">
        <f t="shared" si="18"/>
        <v>Not Expire</v>
      </c>
      <c r="X147" s="3" t="s">
        <v>281</v>
      </c>
      <c r="Y147" s="3" t="e">
        <f>VLOOKUP(O147,[5]Working!$F:$Q,12,0)</f>
        <v>#N/A</v>
      </c>
      <c r="Z147" s="2" t="s">
        <v>109</v>
      </c>
      <c r="AA147" s="2" t="s">
        <v>119</v>
      </c>
    </row>
    <row r="148" spans="1:28" ht="18.600000000000001" hidden="1" customHeight="1" x14ac:dyDescent="0.3">
      <c r="A148" s="2">
        <v>67</v>
      </c>
      <c r="B148" s="2" t="s">
        <v>254</v>
      </c>
      <c r="C148" s="2" t="s">
        <v>42</v>
      </c>
      <c r="D148" s="2"/>
      <c r="E148" s="2" t="s">
        <v>12</v>
      </c>
      <c r="F148" s="2">
        <v>20</v>
      </c>
      <c r="G148" s="2">
        <v>5</v>
      </c>
      <c r="H148" s="2">
        <f t="shared" si="19"/>
        <v>100</v>
      </c>
      <c r="I148" s="27"/>
      <c r="J148" s="27">
        <v>0</v>
      </c>
      <c r="K148" s="2">
        <f t="shared" si="20"/>
        <v>0</v>
      </c>
      <c r="L148" s="2">
        <f t="shared" si="21"/>
        <v>0</v>
      </c>
      <c r="M148" s="2">
        <f t="shared" si="22"/>
        <v>100</v>
      </c>
      <c r="N148" s="2" t="s">
        <v>177</v>
      </c>
      <c r="O148" s="18">
        <v>73095342</v>
      </c>
      <c r="P148" s="2" t="s">
        <v>59</v>
      </c>
      <c r="Q148" s="2">
        <v>1</v>
      </c>
      <c r="R148" s="19">
        <v>45196</v>
      </c>
      <c r="S148" s="19">
        <v>47023</v>
      </c>
      <c r="T148" s="19">
        <v>45868</v>
      </c>
      <c r="U148" s="3">
        <f t="shared" si="16"/>
        <v>1155</v>
      </c>
      <c r="V148" s="3" t="str">
        <f t="shared" si="17"/>
        <v>Not Expired</v>
      </c>
      <c r="W148" s="3" t="str">
        <f t="shared" si="18"/>
        <v>Not Expire</v>
      </c>
      <c r="X148" s="3" t="s">
        <v>281</v>
      </c>
      <c r="Y148" s="3" t="e">
        <f>VLOOKUP(O148,[5]Working!$F:$Q,12,0)</f>
        <v>#N/A</v>
      </c>
      <c r="Z148" s="2"/>
      <c r="AA148" s="2" t="s">
        <v>116</v>
      </c>
      <c r="AB148" t="s">
        <v>160</v>
      </c>
    </row>
    <row r="149" spans="1:28" ht="18.600000000000001" customHeight="1" x14ac:dyDescent="0.3">
      <c r="A149" s="2">
        <v>103</v>
      </c>
      <c r="B149" s="2" t="s">
        <v>218</v>
      </c>
      <c r="C149" s="2" t="s">
        <v>25</v>
      </c>
      <c r="D149" s="2"/>
      <c r="E149" s="2" t="s">
        <v>12</v>
      </c>
      <c r="F149" s="2">
        <v>5</v>
      </c>
      <c r="G149" s="2">
        <v>2</v>
      </c>
      <c r="H149" s="2">
        <f t="shared" si="19"/>
        <v>10</v>
      </c>
      <c r="I149" s="2" t="s">
        <v>296</v>
      </c>
      <c r="J149" s="2">
        <v>0</v>
      </c>
      <c r="K149" s="2">
        <v>0</v>
      </c>
      <c r="L149" s="2">
        <f t="shared" si="21"/>
        <v>0</v>
      </c>
      <c r="M149" s="2">
        <f t="shared" si="22"/>
        <v>10</v>
      </c>
      <c r="N149" s="2" t="s">
        <v>177</v>
      </c>
      <c r="O149" s="18">
        <v>3687934</v>
      </c>
      <c r="P149" s="2" t="s">
        <v>15</v>
      </c>
      <c r="Q149" s="2">
        <v>4</v>
      </c>
      <c r="R149" s="19">
        <v>45580</v>
      </c>
      <c r="S149" s="19">
        <v>47040</v>
      </c>
      <c r="T149" s="19">
        <v>45868</v>
      </c>
      <c r="U149" s="3">
        <f t="shared" si="16"/>
        <v>1172</v>
      </c>
      <c r="V149" s="3" t="str">
        <f t="shared" si="17"/>
        <v>Not Expired</v>
      </c>
      <c r="W149" s="3" t="str">
        <f t="shared" si="18"/>
        <v>Not Expire</v>
      </c>
      <c r="X149" s="3" t="s">
        <v>280</v>
      </c>
      <c r="Y149" s="3" t="str">
        <f>VLOOKUP(O149,[5]Working!$F:$Q,12,0)</f>
        <v>DFIPL Purchase</v>
      </c>
      <c r="Z149" s="2" t="s">
        <v>75</v>
      </c>
      <c r="AA149" s="2" t="s">
        <v>119</v>
      </c>
    </row>
    <row r="150" spans="1:28" ht="18.600000000000001" hidden="1" customHeight="1" x14ac:dyDescent="0.3">
      <c r="A150" s="2">
        <v>4</v>
      </c>
      <c r="B150" s="2" t="s">
        <v>260</v>
      </c>
      <c r="C150" s="2" t="s">
        <v>17</v>
      </c>
      <c r="D150" s="2" t="s">
        <v>11</v>
      </c>
      <c r="E150" s="2" t="s">
        <v>12</v>
      </c>
      <c r="F150" s="2">
        <v>5</v>
      </c>
      <c r="G150" s="2">
        <v>12</v>
      </c>
      <c r="H150" s="2">
        <f t="shared" si="19"/>
        <v>60</v>
      </c>
      <c r="I150" s="2"/>
      <c r="J150" s="2">
        <v>0</v>
      </c>
      <c r="K150" s="2">
        <f t="shared" si="20"/>
        <v>0</v>
      </c>
      <c r="L150" s="2">
        <f t="shared" si="21"/>
        <v>0</v>
      </c>
      <c r="M150" s="2">
        <f t="shared" si="22"/>
        <v>60</v>
      </c>
      <c r="N150" s="2" t="s">
        <v>177</v>
      </c>
      <c r="O150" s="18">
        <v>3699099</v>
      </c>
      <c r="P150" s="2" t="s">
        <v>18</v>
      </c>
      <c r="Q150" s="2">
        <v>4</v>
      </c>
      <c r="R150" s="19">
        <v>45589</v>
      </c>
      <c r="S150" s="19">
        <v>47049</v>
      </c>
      <c r="T150" s="19">
        <v>45868</v>
      </c>
      <c r="U150" s="3">
        <f t="shared" si="16"/>
        <v>1181</v>
      </c>
      <c r="V150" s="3" t="str">
        <f t="shared" si="17"/>
        <v>Not Expired</v>
      </c>
      <c r="W150" s="3" t="str">
        <f t="shared" si="18"/>
        <v>Not Expire</v>
      </c>
      <c r="X150" s="3" t="s">
        <v>281</v>
      </c>
      <c r="Y150" s="3" t="e">
        <f>VLOOKUP(O150,[5]Working!$F:$Q,12,0)</f>
        <v>#N/A</v>
      </c>
      <c r="Z150" s="2"/>
      <c r="AA150" s="2" t="s">
        <v>116</v>
      </c>
    </row>
    <row r="151" spans="1:28" ht="18.600000000000001" hidden="1" customHeight="1" x14ac:dyDescent="0.3">
      <c r="A151" s="2">
        <v>203</v>
      </c>
      <c r="B151" s="2" t="s">
        <v>260</v>
      </c>
      <c r="C151" s="2" t="s">
        <v>17</v>
      </c>
      <c r="D151" s="2" t="s">
        <v>11</v>
      </c>
      <c r="E151" s="2" t="s">
        <v>12</v>
      </c>
      <c r="F151" s="2">
        <v>5</v>
      </c>
      <c r="G151" s="2">
        <v>17</v>
      </c>
      <c r="H151" s="2">
        <f t="shared" si="19"/>
        <v>85</v>
      </c>
      <c r="I151" s="2"/>
      <c r="J151" s="2">
        <v>0</v>
      </c>
      <c r="K151" s="2">
        <f t="shared" si="20"/>
        <v>0</v>
      </c>
      <c r="L151" s="2">
        <f t="shared" si="21"/>
        <v>0</v>
      </c>
      <c r="M151" s="2">
        <f t="shared" si="22"/>
        <v>85</v>
      </c>
      <c r="N151" s="2" t="s">
        <v>177</v>
      </c>
      <c r="O151" s="18">
        <v>3699099</v>
      </c>
      <c r="P151" s="2" t="s">
        <v>18</v>
      </c>
      <c r="Q151" s="2">
        <v>4</v>
      </c>
      <c r="R151" s="19">
        <v>45589</v>
      </c>
      <c r="S151" s="19">
        <v>47049</v>
      </c>
      <c r="T151" s="19">
        <v>45868</v>
      </c>
      <c r="U151" s="3">
        <f t="shared" si="16"/>
        <v>1181</v>
      </c>
      <c r="V151" s="3" t="str">
        <f t="shared" si="17"/>
        <v>Not Expired</v>
      </c>
      <c r="W151" s="3" t="str">
        <f t="shared" si="18"/>
        <v>Not Expire</v>
      </c>
      <c r="X151" s="3" t="s">
        <v>281</v>
      </c>
      <c r="Y151" s="3" t="e">
        <f>VLOOKUP(O151,[5]Working!$F:$Q,12,0)</f>
        <v>#N/A</v>
      </c>
      <c r="Z151" s="2" t="s">
        <v>96</v>
      </c>
      <c r="AA151" s="2" t="s">
        <v>119</v>
      </c>
    </row>
    <row r="152" spans="1:28" ht="18.600000000000001" hidden="1" customHeight="1" x14ac:dyDescent="0.3">
      <c r="A152" s="2">
        <v>69</v>
      </c>
      <c r="B152" s="2" t="s">
        <v>254</v>
      </c>
      <c r="C152" s="2" t="s">
        <v>42</v>
      </c>
      <c r="D152" s="2"/>
      <c r="E152" s="2" t="s">
        <v>12</v>
      </c>
      <c r="F152" s="2">
        <v>20</v>
      </c>
      <c r="G152" s="2">
        <v>1</v>
      </c>
      <c r="H152" s="2">
        <f t="shared" si="19"/>
        <v>20</v>
      </c>
      <c r="I152" s="27"/>
      <c r="J152" s="27">
        <v>0</v>
      </c>
      <c r="K152" s="2">
        <f t="shared" si="20"/>
        <v>0</v>
      </c>
      <c r="L152" s="2">
        <f t="shared" si="21"/>
        <v>0</v>
      </c>
      <c r="M152" s="2">
        <f t="shared" si="22"/>
        <v>20</v>
      </c>
      <c r="N152" s="2" t="s">
        <v>177</v>
      </c>
      <c r="O152" s="18">
        <v>73105458</v>
      </c>
      <c r="P152" s="2" t="s">
        <v>59</v>
      </c>
      <c r="Q152" s="2">
        <v>1</v>
      </c>
      <c r="R152" s="19">
        <v>45229</v>
      </c>
      <c r="S152" s="19">
        <v>47056</v>
      </c>
      <c r="T152" s="19">
        <v>45868</v>
      </c>
      <c r="U152" s="3">
        <f t="shared" si="16"/>
        <v>1188</v>
      </c>
      <c r="V152" s="3" t="str">
        <f t="shared" si="17"/>
        <v>Not Expired</v>
      </c>
      <c r="W152" s="3" t="str">
        <f t="shared" si="18"/>
        <v>Not Expire</v>
      </c>
      <c r="X152" s="3" t="s">
        <v>281</v>
      </c>
      <c r="Y152" s="3" t="e">
        <f>VLOOKUP(O152,[5]Working!$F:$Q,12,0)</f>
        <v>#N/A</v>
      </c>
      <c r="Z152" s="2" t="s">
        <v>60</v>
      </c>
      <c r="AA152" s="2" t="s">
        <v>118</v>
      </c>
    </row>
    <row r="153" spans="1:28" ht="18.600000000000001" hidden="1" customHeight="1" x14ac:dyDescent="0.3">
      <c r="A153" s="2">
        <v>5</v>
      </c>
      <c r="B153" s="2" t="s">
        <v>260</v>
      </c>
      <c r="C153" s="2" t="s">
        <v>17</v>
      </c>
      <c r="D153" s="2" t="s">
        <v>11</v>
      </c>
      <c r="E153" s="2" t="s">
        <v>12</v>
      </c>
      <c r="F153" s="2">
        <v>5</v>
      </c>
      <c r="G153" s="2">
        <v>2</v>
      </c>
      <c r="H153" s="2">
        <f t="shared" si="19"/>
        <v>10</v>
      </c>
      <c r="I153" s="2"/>
      <c r="J153" s="2">
        <v>0</v>
      </c>
      <c r="K153" s="2">
        <f t="shared" si="20"/>
        <v>0</v>
      </c>
      <c r="L153" s="2">
        <f t="shared" si="21"/>
        <v>0</v>
      </c>
      <c r="M153" s="2">
        <f t="shared" si="22"/>
        <v>10</v>
      </c>
      <c r="N153" s="2" t="s">
        <v>178</v>
      </c>
      <c r="O153" s="18">
        <v>3716075</v>
      </c>
      <c r="P153" s="2" t="s">
        <v>18</v>
      </c>
      <c r="Q153" s="2">
        <v>4</v>
      </c>
      <c r="R153" s="19">
        <v>45607</v>
      </c>
      <c r="S153" s="19">
        <v>47067</v>
      </c>
      <c r="T153" s="19">
        <v>45868</v>
      </c>
      <c r="U153" s="3">
        <f t="shared" si="16"/>
        <v>1199</v>
      </c>
      <c r="V153" s="3" t="str">
        <f t="shared" si="17"/>
        <v>Not Expired</v>
      </c>
      <c r="W153" s="3" t="str">
        <f t="shared" si="18"/>
        <v>Not Expire</v>
      </c>
      <c r="X153" s="3" t="s">
        <v>281</v>
      </c>
      <c r="Y153" s="3" t="e">
        <f>VLOOKUP(O153,[5]Working!$F:$Q,12,0)</f>
        <v>#N/A</v>
      </c>
      <c r="Z153" s="2"/>
      <c r="AA153" s="2" t="s">
        <v>116</v>
      </c>
    </row>
    <row r="154" spans="1:28" ht="18.600000000000001" hidden="1" customHeight="1" x14ac:dyDescent="0.3">
      <c r="A154" s="2">
        <v>164</v>
      </c>
      <c r="B154" s="2" t="s">
        <v>261</v>
      </c>
      <c r="C154" s="2" t="s">
        <v>27</v>
      </c>
      <c r="D154" s="2"/>
      <c r="E154" s="2" t="s">
        <v>12</v>
      </c>
      <c r="F154" s="2">
        <v>20</v>
      </c>
      <c r="G154" s="2">
        <v>1</v>
      </c>
      <c r="H154" s="2">
        <f t="shared" si="19"/>
        <v>20</v>
      </c>
      <c r="I154" s="2"/>
      <c r="J154" s="2">
        <v>0</v>
      </c>
      <c r="K154" s="2">
        <f t="shared" si="20"/>
        <v>0</v>
      </c>
      <c r="L154" s="2">
        <f t="shared" si="21"/>
        <v>0</v>
      </c>
      <c r="M154" s="2">
        <f t="shared" si="22"/>
        <v>20</v>
      </c>
      <c r="N154" s="2" t="s">
        <v>178</v>
      </c>
      <c r="O154" s="18">
        <v>3720679</v>
      </c>
      <c r="P154" s="2" t="s">
        <v>18</v>
      </c>
      <c r="Q154" s="2">
        <v>4</v>
      </c>
      <c r="R154" s="19">
        <v>45610</v>
      </c>
      <c r="S154" s="19">
        <v>47070</v>
      </c>
      <c r="T154" s="19">
        <v>45868</v>
      </c>
      <c r="U154" s="3">
        <f t="shared" si="16"/>
        <v>1202</v>
      </c>
      <c r="V154" s="3" t="str">
        <f t="shared" si="17"/>
        <v>Not Expired</v>
      </c>
      <c r="W154" s="3" t="str">
        <f t="shared" si="18"/>
        <v>Not Expire</v>
      </c>
      <c r="X154" s="3" t="s">
        <v>281</v>
      </c>
      <c r="Y154" s="3" t="e">
        <f>VLOOKUP(O154,[5]Working!$F:$Q,12,0)</f>
        <v>#N/A</v>
      </c>
      <c r="Z154" s="2"/>
      <c r="AA154" s="2" t="s">
        <v>116</v>
      </c>
    </row>
    <row r="155" spans="1:28" ht="18.600000000000001" customHeight="1" x14ac:dyDescent="0.3">
      <c r="A155" s="27">
        <v>182</v>
      </c>
      <c r="B155" s="2" t="s">
        <v>235</v>
      </c>
      <c r="C155" s="2" t="s">
        <v>76</v>
      </c>
      <c r="D155" s="2" t="s">
        <v>11</v>
      </c>
      <c r="E155" s="2" t="s">
        <v>12</v>
      </c>
      <c r="F155" s="2">
        <v>1.8</v>
      </c>
      <c r="G155" s="2">
        <v>2</v>
      </c>
      <c r="H155" s="2">
        <f t="shared" si="19"/>
        <v>3.6</v>
      </c>
      <c r="I155" s="2"/>
      <c r="J155" s="2">
        <v>0</v>
      </c>
      <c r="K155" s="2">
        <f t="shared" si="20"/>
        <v>0</v>
      </c>
      <c r="L155" s="2">
        <f t="shared" si="21"/>
        <v>0</v>
      </c>
      <c r="M155" s="2">
        <f t="shared" si="22"/>
        <v>3.6</v>
      </c>
      <c r="N155" s="2" t="s">
        <v>178</v>
      </c>
      <c r="O155" s="18">
        <v>3720780</v>
      </c>
      <c r="P155" s="2" t="s">
        <v>140</v>
      </c>
      <c r="Q155" s="2">
        <v>1</v>
      </c>
      <c r="R155" s="19">
        <v>45611</v>
      </c>
      <c r="S155" s="19">
        <v>47071</v>
      </c>
      <c r="T155" s="19">
        <v>45868</v>
      </c>
      <c r="U155" s="3">
        <f t="shared" si="16"/>
        <v>1203</v>
      </c>
      <c r="V155" s="3" t="str">
        <f t="shared" si="17"/>
        <v>Not Expired</v>
      </c>
      <c r="W155" s="3" t="str">
        <f t="shared" si="18"/>
        <v>Not Expire</v>
      </c>
      <c r="X155" s="3" t="s">
        <v>280</v>
      </c>
      <c r="Y155" s="3" t="str">
        <f>VLOOKUP(O155,[5]Working!$F:$Q,12,0)</f>
        <v>DFIPL Purchase</v>
      </c>
      <c r="Z155" s="2" t="s">
        <v>93</v>
      </c>
      <c r="AA155" s="2" t="s">
        <v>117</v>
      </c>
    </row>
    <row r="156" spans="1:28" ht="18.600000000000001" hidden="1" customHeight="1" x14ac:dyDescent="0.3">
      <c r="A156" s="2">
        <v>161</v>
      </c>
      <c r="B156" s="2" t="s">
        <v>262</v>
      </c>
      <c r="C156" s="2" t="s">
        <v>25</v>
      </c>
      <c r="D156" s="2"/>
      <c r="E156" s="2" t="s">
        <v>12</v>
      </c>
      <c r="F156" s="2">
        <v>20</v>
      </c>
      <c r="G156" s="2">
        <v>9</v>
      </c>
      <c r="H156" s="2">
        <f t="shared" si="19"/>
        <v>180</v>
      </c>
      <c r="I156" s="2"/>
      <c r="J156" s="2">
        <v>0</v>
      </c>
      <c r="K156" s="2">
        <f t="shared" si="20"/>
        <v>0</v>
      </c>
      <c r="L156" s="2">
        <f t="shared" si="21"/>
        <v>0</v>
      </c>
      <c r="M156" s="2">
        <f t="shared" si="22"/>
        <v>180</v>
      </c>
      <c r="N156" s="2" t="s">
        <v>178</v>
      </c>
      <c r="O156" s="18">
        <v>3722105</v>
      </c>
      <c r="P156" s="2" t="s">
        <v>18</v>
      </c>
      <c r="Q156" s="2">
        <v>4</v>
      </c>
      <c r="R156" s="19">
        <v>45614</v>
      </c>
      <c r="S156" s="19">
        <v>47074</v>
      </c>
      <c r="T156" s="19">
        <v>45868</v>
      </c>
      <c r="U156" s="3">
        <f t="shared" si="16"/>
        <v>1206</v>
      </c>
      <c r="V156" s="3" t="str">
        <f t="shared" si="17"/>
        <v>Not Expired</v>
      </c>
      <c r="W156" s="3" t="str">
        <f t="shared" si="18"/>
        <v>Not Expire</v>
      </c>
      <c r="X156" s="3" t="s">
        <v>281</v>
      </c>
      <c r="Y156" s="3" t="e">
        <f>VLOOKUP(O156,[5]Working!$F:$Q,12,0)</f>
        <v>#N/A</v>
      </c>
      <c r="Z156" s="2"/>
      <c r="AA156" s="2" t="s">
        <v>116</v>
      </c>
    </row>
    <row r="157" spans="1:28" ht="18.600000000000001" hidden="1" customHeight="1" x14ac:dyDescent="0.3">
      <c r="A157" s="2">
        <v>186</v>
      </c>
      <c r="B157" s="2" t="s">
        <v>263</v>
      </c>
      <c r="C157" s="2" t="s">
        <v>76</v>
      </c>
      <c r="D157" s="2" t="s">
        <v>11</v>
      </c>
      <c r="E157" s="2" t="s">
        <v>12</v>
      </c>
      <c r="F157" s="2">
        <v>0.45</v>
      </c>
      <c r="G157" s="2">
        <v>1</v>
      </c>
      <c r="H157" s="2">
        <f t="shared" si="19"/>
        <v>0.45</v>
      </c>
      <c r="I157" s="2"/>
      <c r="J157" s="2">
        <v>0</v>
      </c>
      <c r="K157" s="2">
        <f t="shared" si="20"/>
        <v>0</v>
      </c>
      <c r="L157" s="2">
        <f t="shared" si="21"/>
        <v>0</v>
      </c>
      <c r="M157" s="2">
        <f t="shared" si="22"/>
        <v>0.45</v>
      </c>
      <c r="N157" s="2" t="s">
        <v>178</v>
      </c>
      <c r="O157" s="18">
        <v>3740274</v>
      </c>
      <c r="P157" s="2" t="s">
        <v>18</v>
      </c>
      <c r="Q157" s="2">
        <v>4</v>
      </c>
      <c r="R157" s="19">
        <v>45629</v>
      </c>
      <c r="S157" s="19">
        <v>47089</v>
      </c>
      <c r="T157" s="19">
        <v>45868</v>
      </c>
      <c r="U157" s="3">
        <f t="shared" si="16"/>
        <v>1221</v>
      </c>
      <c r="V157" s="3" t="str">
        <f t="shared" si="17"/>
        <v>Not Expired</v>
      </c>
      <c r="W157" s="3" t="str">
        <f t="shared" si="18"/>
        <v>Not Expire</v>
      </c>
      <c r="X157" s="3" t="s">
        <v>281</v>
      </c>
      <c r="Y157" s="3" t="e">
        <f>VLOOKUP(O157,[5]Working!$F:$Q,12,0)</f>
        <v>#N/A</v>
      </c>
      <c r="Z157" s="2"/>
      <c r="AA157" s="2" t="s">
        <v>116</v>
      </c>
    </row>
    <row r="158" spans="1:28" ht="18.600000000000001" customHeight="1" x14ac:dyDescent="0.3">
      <c r="A158" s="2">
        <v>218</v>
      </c>
      <c r="B158" s="2" t="s">
        <v>264</v>
      </c>
      <c r="C158" s="2" t="s">
        <v>103</v>
      </c>
      <c r="D158" s="2" t="s">
        <v>11</v>
      </c>
      <c r="E158" s="2" t="s">
        <v>12</v>
      </c>
      <c r="F158" s="2">
        <v>2.6</v>
      </c>
      <c r="G158" s="2">
        <v>3</v>
      </c>
      <c r="H158" s="2">
        <f t="shared" si="19"/>
        <v>7.8000000000000007</v>
      </c>
      <c r="I158" s="2"/>
      <c r="J158" s="2">
        <v>0</v>
      </c>
      <c r="K158" s="2">
        <f t="shared" si="20"/>
        <v>0</v>
      </c>
      <c r="L158" s="2">
        <f t="shared" si="21"/>
        <v>0</v>
      </c>
      <c r="M158" s="2">
        <f t="shared" si="22"/>
        <v>7.8000000000000007</v>
      </c>
      <c r="N158" s="2" t="s">
        <v>178</v>
      </c>
      <c r="O158" s="18">
        <v>3786218</v>
      </c>
      <c r="P158" s="2" t="s">
        <v>89</v>
      </c>
      <c r="Q158" s="2">
        <v>2</v>
      </c>
      <c r="R158" s="19">
        <v>45663</v>
      </c>
      <c r="S158" s="19">
        <v>47123</v>
      </c>
      <c r="T158" s="19">
        <v>45868</v>
      </c>
      <c r="U158" s="3">
        <f t="shared" si="16"/>
        <v>1255</v>
      </c>
      <c r="V158" s="3" t="str">
        <f t="shared" si="17"/>
        <v>Not Expired</v>
      </c>
      <c r="W158" s="3" t="str">
        <f t="shared" si="18"/>
        <v>Not Expire</v>
      </c>
      <c r="X158" s="3" t="s">
        <v>280</v>
      </c>
      <c r="Y158" s="3" t="str">
        <f>VLOOKUP(O158,[5]Working!$F:$Q,12,0)</f>
        <v>DFIPL Purchase</v>
      </c>
      <c r="Z158" s="2"/>
      <c r="AA158" s="2" t="s">
        <v>116</v>
      </c>
    </row>
    <row r="159" spans="1:28" ht="18.600000000000001" customHeight="1" x14ac:dyDescent="0.3">
      <c r="A159" s="2">
        <v>162</v>
      </c>
      <c r="B159" s="2" t="s">
        <v>249</v>
      </c>
      <c r="C159" s="2" t="s">
        <v>27</v>
      </c>
      <c r="D159" s="2"/>
      <c r="E159" s="2" t="s">
        <v>12</v>
      </c>
      <c r="F159" s="2">
        <v>20</v>
      </c>
      <c r="G159" s="2">
        <v>12</v>
      </c>
      <c r="H159" s="2">
        <f t="shared" si="19"/>
        <v>240</v>
      </c>
      <c r="I159" s="2">
        <f>1+1+1</f>
        <v>3</v>
      </c>
      <c r="J159" s="2">
        <v>20</v>
      </c>
      <c r="K159" s="2">
        <f t="shared" si="20"/>
        <v>60</v>
      </c>
      <c r="L159" s="2">
        <f t="shared" si="21"/>
        <v>40</v>
      </c>
      <c r="M159" s="2">
        <f t="shared" si="22"/>
        <v>180</v>
      </c>
      <c r="N159" s="2" t="s">
        <v>178</v>
      </c>
      <c r="O159" s="18">
        <v>3785031</v>
      </c>
      <c r="P159" s="2" t="s">
        <v>89</v>
      </c>
      <c r="Q159" s="2">
        <v>2</v>
      </c>
      <c r="R159" s="19">
        <v>45664</v>
      </c>
      <c r="S159" s="19">
        <v>47124</v>
      </c>
      <c r="T159" s="19">
        <v>45868</v>
      </c>
      <c r="U159" s="3">
        <f t="shared" si="16"/>
        <v>1256</v>
      </c>
      <c r="V159" s="3" t="str">
        <f t="shared" si="17"/>
        <v>Not Expired</v>
      </c>
      <c r="W159" s="3" t="str">
        <f t="shared" si="18"/>
        <v>Not Expire</v>
      </c>
      <c r="X159" s="3" t="s">
        <v>280</v>
      </c>
      <c r="Y159" s="3" t="str">
        <f>VLOOKUP(O159,[5]Working!$F:$Q,12,0)</f>
        <v>DFIPL Purchase</v>
      </c>
      <c r="Z159" s="2"/>
      <c r="AA159" s="2" t="s">
        <v>116</v>
      </c>
      <c r="AB159" t="s">
        <v>306</v>
      </c>
    </row>
    <row r="160" spans="1:28" ht="18.600000000000001" customHeight="1" x14ac:dyDescent="0.3">
      <c r="A160" s="2">
        <v>170</v>
      </c>
      <c r="B160" s="2" t="s">
        <v>230</v>
      </c>
      <c r="C160" s="2" t="s">
        <v>20</v>
      </c>
      <c r="D160" s="2" t="s">
        <v>11</v>
      </c>
      <c r="E160" s="2" t="s">
        <v>12</v>
      </c>
      <c r="F160" s="2">
        <v>3.3</v>
      </c>
      <c r="G160" s="2">
        <v>31</v>
      </c>
      <c r="H160" s="2">
        <f t="shared" si="19"/>
        <v>102.3</v>
      </c>
      <c r="I160" s="2">
        <v>2</v>
      </c>
      <c r="J160" s="2">
        <v>0</v>
      </c>
      <c r="K160" s="2">
        <f t="shared" si="20"/>
        <v>6.6</v>
      </c>
      <c r="L160" s="2">
        <f t="shared" si="21"/>
        <v>6.6</v>
      </c>
      <c r="M160" s="2">
        <f t="shared" si="22"/>
        <v>95.7</v>
      </c>
      <c r="N160" s="2" t="s">
        <v>178</v>
      </c>
      <c r="O160" s="18">
        <v>3789932</v>
      </c>
      <c r="P160" s="2" t="s">
        <v>89</v>
      </c>
      <c r="Q160" s="2">
        <v>2</v>
      </c>
      <c r="R160" s="19">
        <v>45665</v>
      </c>
      <c r="S160" s="19">
        <v>47125</v>
      </c>
      <c r="T160" s="19">
        <v>45868</v>
      </c>
      <c r="U160" s="3">
        <f t="shared" si="16"/>
        <v>1257</v>
      </c>
      <c r="V160" s="3" t="str">
        <f t="shared" si="17"/>
        <v>Not Expired</v>
      </c>
      <c r="W160" s="3" t="str">
        <f t="shared" si="18"/>
        <v>Not Expire</v>
      </c>
      <c r="X160" s="3" t="s">
        <v>280</v>
      </c>
      <c r="Y160" s="3" t="str">
        <f>VLOOKUP(O160,[5]Working!$F:$Q,12,0)</f>
        <v>DFIPL Purchase</v>
      </c>
      <c r="Z160" s="2"/>
      <c r="AA160" s="2" t="s">
        <v>116</v>
      </c>
      <c r="AB160" t="s">
        <v>305</v>
      </c>
    </row>
    <row r="161" spans="1:28" ht="18.600000000000001" hidden="1" customHeight="1" x14ac:dyDescent="0.3">
      <c r="A161" s="2">
        <v>24</v>
      </c>
      <c r="B161" s="2" t="s">
        <v>265</v>
      </c>
      <c r="C161" s="2" t="s">
        <v>33</v>
      </c>
      <c r="D161" s="2" t="s">
        <v>24</v>
      </c>
      <c r="E161" s="2" t="s">
        <v>12</v>
      </c>
      <c r="F161" s="41">
        <v>16.809999999999999</v>
      </c>
      <c r="G161" s="2">
        <v>21</v>
      </c>
      <c r="H161" s="2">
        <f t="shared" si="19"/>
        <v>353.01</v>
      </c>
      <c r="I161" s="2"/>
      <c r="J161" s="2">
        <v>0</v>
      </c>
      <c r="K161" s="2">
        <f t="shared" si="20"/>
        <v>0</v>
      </c>
      <c r="L161" s="2">
        <f t="shared" si="21"/>
        <v>0</v>
      </c>
      <c r="M161" s="2">
        <f t="shared" si="22"/>
        <v>353.01</v>
      </c>
      <c r="N161" s="2" t="s">
        <v>178</v>
      </c>
      <c r="O161" s="18">
        <v>3791595</v>
      </c>
      <c r="P161" s="2" t="s">
        <v>18</v>
      </c>
      <c r="Q161" s="2">
        <v>4</v>
      </c>
      <c r="R161" s="19">
        <v>45666</v>
      </c>
      <c r="S161" s="19">
        <v>47126</v>
      </c>
      <c r="T161" s="19">
        <v>45868</v>
      </c>
      <c r="U161" s="3">
        <f t="shared" si="16"/>
        <v>1258</v>
      </c>
      <c r="V161" s="3" t="str">
        <f t="shared" si="17"/>
        <v>Not Expired</v>
      </c>
      <c r="W161" s="3" t="str">
        <f t="shared" si="18"/>
        <v>Not Expire</v>
      </c>
      <c r="X161" s="3" t="s">
        <v>281</v>
      </c>
      <c r="Y161" s="3" t="e">
        <f>VLOOKUP(O161,[5]Working!$F:$Q,12,0)</f>
        <v>#N/A</v>
      </c>
      <c r="Z161" s="2"/>
      <c r="AA161" s="2" t="s">
        <v>116</v>
      </c>
    </row>
    <row r="162" spans="1:28" ht="18.600000000000001" customHeight="1" x14ac:dyDescent="0.3">
      <c r="A162" s="2">
        <v>194</v>
      </c>
      <c r="B162" s="2" t="s">
        <v>186</v>
      </c>
      <c r="C162" s="2" t="s">
        <v>94</v>
      </c>
      <c r="D162" s="2" t="s">
        <v>24</v>
      </c>
      <c r="E162" s="2" t="s">
        <v>12</v>
      </c>
      <c r="F162" s="2">
        <v>16.7</v>
      </c>
      <c r="G162" s="2">
        <v>25</v>
      </c>
      <c r="H162" s="2">
        <f t="shared" si="19"/>
        <v>417.5</v>
      </c>
      <c r="I162" s="2">
        <v>2</v>
      </c>
      <c r="J162" s="2">
        <v>0</v>
      </c>
      <c r="K162" s="2">
        <f t="shared" si="20"/>
        <v>33.4</v>
      </c>
      <c r="L162" s="2">
        <f t="shared" si="21"/>
        <v>33.4</v>
      </c>
      <c r="M162" s="2">
        <f t="shared" si="22"/>
        <v>384.1</v>
      </c>
      <c r="N162" s="2" t="s">
        <v>178</v>
      </c>
      <c r="O162" s="18">
        <v>3791457</v>
      </c>
      <c r="P162" s="2" t="s">
        <v>89</v>
      </c>
      <c r="Q162" s="2">
        <v>2</v>
      </c>
      <c r="R162" s="19">
        <v>45666</v>
      </c>
      <c r="S162" s="19">
        <v>47126</v>
      </c>
      <c r="T162" s="19">
        <v>45868</v>
      </c>
      <c r="U162" s="3">
        <f t="shared" si="16"/>
        <v>1258</v>
      </c>
      <c r="V162" s="3" t="str">
        <f t="shared" si="17"/>
        <v>Not Expired</v>
      </c>
      <c r="W162" s="3" t="str">
        <f t="shared" si="18"/>
        <v>Not Expire</v>
      </c>
      <c r="X162" s="3" t="s">
        <v>280</v>
      </c>
      <c r="Y162" s="3" t="str">
        <f>VLOOKUP(O162,[5]Working!$F:$Q,12,0)</f>
        <v>DFIPL Purchase</v>
      </c>
      <c r="Z162" s="2"/>
      <c r="AA162" s="2" t="s">
        <v>116</v>
      </c>
      <c r="AB162" t="s">
        <v>305</v>
      </c>
    </row>
    <row r="163" spans="1:28" ht="18.600000000000001" hidden="1" customHeight="1" x14ac:dyDescent="0.3">
      <c r="A163" s="2">
        <v>163</v>
      </c>
      <c r="B163" s="2" t="s">
        <v>261</v>
      </c>
      <c r="C163" s="2" t="s">
        <v>27</v>
      </c>
      <c r="D163" s="2"/>
      <c r="E163" s="2" t="s">
        <v>12</v>
      </c>
      <c r="F163" s="2">
        <v>20</v>
      </c>
      <c r="G163" s="2">
        <v>14</v>
      </c>
      <c r="H163" s="2">
        <f t="shared" si="19"/>
        <v>280</v>
      </c>
      <c r="I163" s="2"/>
      <c r="J163" s="2">
        <v>0</v>
      </c>
      <c r="K163" s="2">
        <f t="shared" si="20"/>
        <v>0</v>
      </c>
      <c r="L163" s="2">
        <f t="shared" si="21"/>
        <v>0</v>
      </c>
      <c r="M163" s="2">
        <f t="shared" si="22"/>
        <v>280</v>
      </c>
      <c r="N163" s="2" t="s">
        <v>178</v>
      </c>
      <c r="O163" s="18">
        <v>3797670</v>
      </c>
      <c r="P163" s="2" t="s">
        <v>18</v>
      </c>
      <c r="Q163" s="2">
        <v>4</v>
      </c>
      <c r="R163" s="19">
        <v>45672</v>
      </c>
      <c r="S163" s="19">
        <v>47132</v>
      </c>
      <c r="T163" s="19">
        <v>45868</v>
      </c>
      <c r="U163" s="3">
        <f t="shared" si="16"/>
        <v>1264</v>
      </c>
      <c r="V163" s="3" t="str">
        <f t="shared" si="17"/>
        <v>Not Expired</v>
      </c>
      <c r="W163" s="3" t="str">
        <f t="shared" si="18"/>
        <v>Not Expire</v>
      </c>
      <c r="X163" s="3" t="s">
        <v>281</v>
      </c>
      <c r="Y163" s="3" t="e">
        <f>VLOOKUP(O163,[5]Working!$F:$Q,12,0)</f>
        <v>#N/A</v>
      </c>
      <c r="Z163" s="2"/>
      <c r="AA163" s="2" t="s">
        <v>116</v>
      </c>
    </row>
    <row r="164" spans="1:28" ht="18.600000000000001" hidden="1" customHeight="1" x14ac:dyDescent="0.3">
      <c r="A164" s="2">
        <v>99</v>
      </c>
      <c r="B164" s="2" t="s">
        <v>262</v>
      </c>
      <c r="C164" s="2" t="s">
        <v>25</v>
      </c>
      <c r="D164" s="2"/>
      <c r="E164" s="2" t="s">
        <v>12</v>
      </c>
      <c r="F164" s="2">
        <v>20</v>
      </c>
      <c r="G164" s="2">
        <v>58</v>
      </c>
      <c r="H164" s="2">
        <f t="shared" si="19"/>
        <v>1160</v>
      </c>
      <c r="I164" s="2"/>
      <c r="J164" s="2">
        <v>0</v>
      </c>
      <c r="K164" s="2">
        <f t="shared" si="20"/>
        <v>0</v>
      </c>
      <c r="L164" s="2">
        <f t="shared" si="21"/>
        <v>0</v>
      </c>
      <c r="M164" s="2">
        <f t="shared" si="22"/>
        <v>1160</v>
      </c>
      <c r="N164" s="2" t="s">
        <v>178</v>
      </c>
      <c r="O164" s="18">
        <v>3800852</v>
      </c>
      <c r="P164" s="2" t="s">
        <v>18</v>
      </c>
      <c r="Q164" s="2">
        <v>4</v>
      </c>
      <c r="R164" s="19">
        <v>45674</v>
      </c>
      <c r="S164" s="19">
        <v>47134</v>
      </c>
      <c r="T164" s="19">
        <v>45868</v>
      </c>
      <c r="U164" s="3">
        <f t="shared" si="16"/>
        <v>1266</v>
      </c>
      <c r="V164" s="3" t="str">
        <f t="shared" si="17"/>
        <v>Not Expired</v>
      </c>
      <c r="W164" s="3" t="str">
        <f t="shared" si="18"/>
        <v>Not Expire</v>
      </c>
      <c r="X164" s="3" t="s">
        <v>281</v>
      </c>
      <c r="Y164" s="3" t="e">
        <f>VLOOKUP(O164,[5]Working!$F:$Q,12,0)</f>
        <v>#N/A</v>
      </c>
      <c r="Z164" s="2"/>
      <c r="AA164" s="2" t="s">
        <v>116</v>
      </c>
    </row>
    <row r="165" spans="1:28" ht="18.600000000000001" hidden="1" customHeight="1" x14ac:dyDescent="0.3">
      <c r="A165" s="2">
        <v>223</v>
      </c>
      <c r="B165" s="2" t="s">
        <v>266</v>
      </c>
      <c r="C165" s="2" t="s">
        <v>36</v>
      </c>
      <c r="D165" s="2" t="s">
        <v>24</v>
      </c>
      <c r="E165" s="2" t="s">
        <v>12</v>
      </c>
      <c r="F165" s="2">
        <v>4.37</v>
      </c>
      <c r="G165" s="2">
        <v>1</v>
      </c>
      <c r="H165" s="2">
        <f t="shared" si="19"/>
        <v>4.37</v>
      </c>
      <c r="I165" s="2"/>
      <c r="J165" s="2">
        <v>0</v>
      </c>
      <c r="K165" s="2">
        <f t="shared" si="20"/>
        <v>0</v>
      </c>
      <c r="L165" s="2">
        <f t="shared" si="21"/>
        <v>0</v>
      </c>
      <c r="M165" s="2">
        <f t="shared" si="22"/>
        <v>4.37</v>
      </c>
      <c r="N165" s="2" t="s">
        <v>178</v>
      </c>
      <c r="O165" s="18">
        <v>3802453</v>
      </c>
      <c r="P165" s="2" t="s">
        <v>18</v>
      </c>
      <c r="Q165" s="2">
        <v>4</v>
      </c>
      <c r="R165" s="19">
        <v>45674</v>
      </c>
      <c r="S165" s="19">
        <v>47134</v>
      </c>
      <c r="T165" s="19">
        <v>45868</v>
      </c>
      <c r="U165" s="3">
        <f t="shared" si="16"/>
        <v>1266</v>
      </c>
      <c r="V165" s="3" t="str">
        <f t="shared" si="17"/>
        <v>Not Expired</v>
      </c>
      <c r="W165" s="3" t="str">
        <f t="shared" si="18"/>
        <v>Not Expire</v>
      </c>
      <c r="X165" s="3" t="s">
        <v>281</v>
      </c>
      <c r="Y165" s="3" t="e">
        <f>VLOOKUP(O165,[5]Working!$F:$Q,12,0)</f>
        <v>#N/A</v>
      </c>
      <c r="Z165" s="2"/>
      <c r="AA165" s="2" t="s">
        <v>116</v>
      </c>
    </row>
    <row r="166" spans="1:28" ht="18.600000000000001" hidden="1" customHeight="1" x14ac:dyDescent="0.3">
      <c r="A166" s="2">
        <v>3</v>
      </c>
      <c r="B166" s="2" t="s">
        <v>260</v>
      </c>
      <c r="C166" s="2" t="s">
        <v>17</v>
      </c>
      <c r="D166" s="2" t="s">
        <v>11</v>
      </c>
      <c r="E166" s="2" t="s">
        <v>12</v>
      </c>
      <c r="F166" s="2">
        <v>5</v>
      </c>
      <c r="G166" s="49">
        <v>42</v>
      </c>
      <c r="H166" s="2">
        <f t="shared" si="19"/>
        <v>210</v>
      </c>
      <c r="I166" s="2"/>
      <c r="J166" s="2">
        <v>0</v>
      </c>
      <c r="K166" s="2">
        <f t="shared" si="20"/>
        <v>0</v>
      </c>
      <c r="L166" s="2">
        <f t="shared" si="21"/>
        <v>0</v>
      </c>
      <c r="M166" s="2">
        <f t="shared" si="22"/>
        <v>210</v>
      </c>
      <c r="N166" s="2" t="s">
        <v>178</v>
      </c>
      <c r="O166" s="18">
        <v>3805684</v>
      </c>
      <c r="P166" s="2" t="s">
        <v>18</v>
      </c>
      <c r="Q166" s="2">
        <v>4</v>
      </c>
      <c r="R166" s="19">
        <v>45678</v>
      </c>
      <c r="S166" s="19">
        <v>47138</v>
      </c>
      <c r="T166" s="19">
        <v>45868</v>
      </c>
      <c r="U166" s="3">
        <f t="shared" si="16"/>
        <v>1270</v>
      </c>
      <c r="V166" s="3" t="str">
        <f t="shared" si="17"/>
        <v>Not Expired</v>
      </c>
      <c r="W166" s="3" t="str">
        <f t="shared" si="18"/>
        <v>Not Expire</v>
      </c>
      <c r="X166" s="3" t="s">
        <v>281</v>
      </c>
      <c r="Y166" s="3" t="e">
        <f>VLOOKUP(O166,[5]Working!$F:$Q,12,0)</f>
        <v>#N/A</v>
      </c>
      <c r="Z166" s="2"/>
      <c r="AA166" s="2" t="s">
        <v>116</v>
      </c>
    </row>
    <row r="167" spans="1:28" ht="18.600000000000001" hidden="1" customHeight="1" x14ac:dyDescent="0.3">
      <c r="A167" s="2">
        <v>6</v>
      </c>
      <c r="B167" s="2" t="s">
        <v>260</v>
      </c>
      <c r="C167" s="2" t="s">
        <v>17</v>
      </c>
      <c r="D167" s="2" t="s">
        <v>11</v>
      </c>
      <c r="E167" s="2" t="s">
        <v>12</v>
      </c>
      <c r="F167" s="2">
        <v>5</v>
      </c>
      <c r="G167" s="49">
        <f>36+30+27</f>
        <v>93</v>
      </c>
      <c r="H167" s="2">
        <f t="shared" si="19"/>
        <v>465</v>
      </c>
      <c r="I167" s="2"/>
      <c r="J167" s="2">
        <v>0</v>
      </c>
      <c r="K167" s="2">
        <f t="shared" si="20"/>
        <v>0</v>
      </c>
      <c r="L167" s="2">
        <f t="shared" si="21"/>
        <v>0</v>
      </c>
      <c r="M167" s="2">
        <f t="shared" si="22"/>
        <v>465</v>
      </c>
      <c r="N167" s="2" t="s">
        <v>178</v>
      </c>
      <c r="O167" s="18">
        <v>3805684</v>
      </c>
      <c r="P167" s="2" t="s">
        <v>18</v>
      </c>
      <c r="Q167" s="2">
        <v>4</v>
      </c>
      <c r="R167" s="19">
        <v>45678</v>
      </c>
      <c r="S167" s="19">
        <v>47138</v>
      </c>
      <c r="T167" s="19">
        <v>45868</v>
      </c>
      <c r="U167" s="3">
        <f t="shared" si="16"/>
        <v>1270</v>
      </c>
      <c r="V167" s="3" t="str">
        <f t="shared" si="17"/>
        <v>Not Expired</v>
      </c>
      <c r="W167" s="3" t="str">
        <f t="shared" si="18"/>
        <v>Not Expire</v>
      </c>
      <c r="X167" s="3" t="s">
        <v>281</v>
      </c>
      <c r="Y167" s="3" t="e">
        <f>VLOOKUP(O167,[5]Working!$F:$Q,12,0)</f>
        <v>#N/A</v>
      </c>
      <c r="Z167" s="2"/>
      <c r="AA167" s="2" t="s">
        <v>116</v>
      </c>
    </row>
    <row r="168" spans="1:28" ht="18.600000000000001" hidden="1" customHeight="1" x14ac:dyDescent="0.3">
      <c r="A168" s="2">
        <v>25</v>
      </c>
      <c r="B168" s="2" t="s">
        <v>267</v>
      </c>
      <c r="C168" s="2" t="s">
        <v>34</v>
      </c>
      <c r="D168" s="2" t="s">
        <v>24</v>
      </c>
      <c r="E168" s="2" t="s">
        <v>12</v>
      </c>
      <c r="F168" s="2">
        <v>18.2</v>
      </c>
      <c r="G168" s="2">
        <v>61</v>
      </c>
      <c r="H168" s="2">
        <f t="shared" si="19"/>
        <v>1110.2</v>
      </c>
      <c r="I168" s="2"/>
      <c r="J168" s="2">
        <v>0</v>
      </c>
      <c r="K168" s="2">
        <f t="shared" si="20"/>
        <v>0</v>
      </c>
      <c r="L168" s="2">
        <f t="shared" si="21"/>
        <v>0</v>
      </c>
      <c r="M168" s="2">
        <f t="shared" si="22"/>
        <v>1110.2</v>
      </c>
      <c r="N168" s="2" t="s">
        <v>178</v>
      </c>
      <c r="O168" s="18">
        <v>3805675</v>
      </c>
      <c r="P168" s="2" t="s">
        <v>18</v>
      </c>
      <c r="Q168" s="2">
        <v>4</v>
      </c>
      <c r="R168" s="19">
        <v>45678</v>
      </c>
      <c r="S168" s="19">
        <v>47138</v>
      </c>
      <c r="T168" s="19">
        <v>45868</v>
      </c>
      <c r="U168" s="3">
        <f t="shared" si="16"/>
        <v>1270</v>
      </c>
      <c r="V168" s="3" t="str">
        <f t="shared" si="17"/>
        <v>Not Expired</v>
      </c>
      <c r="W168" s="3" t="str">
        <f t="shared" si="18"/>
        <v>Not Expire</v>
      </c>
      <c r="X168" s="3" t="s">
        <v>281</v>
      </c>
      <c r="Y168" s="3" t="e">
        <f>VLOOKUP(O168,[5]Working!$F:$Q,12,0)</f>
        <v>#N/A</v>
      </c>
      <c r="Z168" s="2"/>
      <c r="AA168" s="2" t="s">
        <v>116</v>
      </c>
    </row>
    <row r="169" spans="1:28" ht="18.600000000000001" hidden="1" customHeight="1" x14ac:dyDescent="0.3">
      <c r="A169" s="2">
        <v>26</v>
      </c>
      <c r="B169" s="2" t="s">
        <v>259</v>
      </c>
      <c r="C169" s="2" t="s">
        <v>35</v>
      </c>
      <c r="D169" s="2" t="s">
        <v>24</v>
      </c>
      <c r="E169" s="2" t="s">
        <v>12</v>
      </c>
      <c r="F169" s="2">
        <v>15</v>
      </c>
      <c r="G169" s="2">
        <v>34</v>
      </c>
      <c r="H169" s="2">
        <f t="shared" si="19"/>
        <v>510</v>
      </c>
      <c r="I169" s="2"/>
      <c r="J169" s="2">
        <v>0</v>
      </c>
      <c r="K169" s="2">
        <f t="shared" si="20"/>
        <v>0</v>
      </c>
      <c r="L169" s="2">
        <f t="shared" si="21"/>
        <v>0</v>
      </c>
      <c r="M169" s="2">
        <f t="shared" si="22"/>
        <v>510</v>
      </c>
      <c r="N169" s="2" t="s">
        <v>178</v>
      </c>
      <c r="O169" s="18">
        <v>3805666</v>
      </c>
      <c r="P169" s="2" t="s">
        <v>18</v>
      </c>
      <c r="Q169" s="2">
        <v>4</v>
      </c>
      <c r="R169" s="19">
        <v>45678</v>
      </c>
      <c r="S169" s="19">
        <v>47138</v>
      </c>
      <c r="T169" s="19">
        <v>45868</v>
      </c>
      <c r="U169" s="3">
        <f t="shared" si="16"/>
        <v>1270</v>
      </c>
      <c r="V169" s="3" t="str">
        <f t="shared" si="17"/>
        <v>Not Expired</v>
      </c>
      <c r="W169" s="3" t="str">
        <f t="shared" si="18"/>
        <v>Not Expire</v>
      </c>
      <c r="X169" s="3" t="s">
        <v>281</v>
      </c>
      <c r="Y169" s="3" t="e">
        <f>VLOOKUP(O169,[5]Working!$F:$Q,12,0)</f>
        <v>#N/A</v>
      </c>
      <c r="Z169" s="2"/>
      <c r="AA169" s="2" t="s">
        <v>116</v>
      </c>
    </row>
    <row r="170" spans="1:28" ht="18.600000000000001" hidden="1" customHeight="1" x14ac:dyDescent="0.3">
      <c r="A170" s="2">
        <v>92</v>
      </c>
      <c r="B170" s="2" t="s">
        <v>259</v>
      </c>
      <c r="C170" s="2" t="s">
        <v>35</v>
      </c>
      <c r="D170" s="2" t="s">
        <v>24</v>
      </c>
      <c r="E170" s="2" t="s">
        <v>12</v>
      </c>
      <c r="F170" s="2">
        <v>15</v>
      </c>
      <c r="G170" s="2">
        <f>80+42</f>
        <v>122</v>
      </c>
      <c r="H170" s="2">
        <f t="shared" si="19"/>
        <v>1830</v>
      </c>
      <c r="I170" s="2"/>
      <c r="J170" s="2">
        <v>0</v>
      </c>
      <c r="K170" s="2">
        <f t="shared" si="20"/>
        <v>0</v>
      </c>
      <c r="L170" s="2">
        <f t="shared" si="21"/>
        <v>0</v>
      </c>
      <c r="M170" s="2">
        <f t="shared" si="22"/>
        <v>1830</v>
      </c>
      <c r="N170" s="2" t="s">
        <v>178</v>
      </c>
      <c r="O170" s="18">
        <v>3805666</v>
      </c>
      <c r="P170" s="2" t="s">
        <v>18</v>
      </c>
      <c r="Q170" s="2">
        <v>4</v>
      </c>
      <c r="R170" s="19">
        <v>45678</v>
      </c>
      <c r="S170" s="19">
        <v>47138</v>
      </c>
      <c r="T170" s="19">
        <v>45868</v>
      </c>
      <c r="U170" s="3">
        <f t="shared" si="16"/>
        <v>1270</v>
      </c>
      <c r="V170" s="3" t="str">
        <f t="shared" si="17"/>
        <v>Not Expired</v>
      </c>
      <c r="W170" s="3" t="str">
        <f t="shared" si="18"/>
        <v>Not Expire</v>
      </c>
      <c r="X170" s="3" t="s">
        <v>281</v>
      </c>
      <c r="Y170" s="3" t="e">
        <f>VLOOKUP(O170,[5]Working!$F:$Q,12,0)</f>
        <v>#N/A</v>
      </c>
      <c r="Z170" s="2"/>
      <c r="AA170" s="2" t="s">
        <v>116</v>
      </c>
    </row>
    <row r="171" spans="1:28" ht="18.600000000000001" hidden="1" customHeight="1" x14ac:dyDescent="0.3">
      <c r="A171" s="2">
        <v>191</v>
      </c>
      <c r="B171" s="2" t="s">
        <v>259</v>
      </c>
      <c r="C171" s="2" t="s">
        <v>35</v>
      </c>
      <c r="D171" s="2" t="s">
        <v>24</v>
      </c>
      <c r="E171" s="2" t="s">
        <v>12</v>
      </c>
      <c r="F171" s="2">
        <v>15</v>
      </c>
      <c r="G171" s="2">
        <v>6</v>
      </c>
      <c r="H171" s="2">
        <f t="shared" si="19"/>
        <v>90</v>
      </c>
      <c r="I171" s="2"/>
      <c r="J171" s="2">
        <v>0</v>
      </c>
      <c r="K171" s="2">
        <f t="shared" si="20"/>
        <v>0</v>
      </c>
      <c r="L171" s="2">
        <f t="shared" si="21"/>
        <v>0</v>
      </c>
      <c r="M171" s="2">
        <f t="shared" si="22"/>
        <v>90</v>
      </c>
      <c r="N171" s="2" t="s">
        <v>178</v>
      </c>
      <c r="O171" s="18">
        <v>3805666</v>
      </c>
      <c r="P171" s="2" t="s">
        <v>18</v>
      </c>
      <c r="Q171" s="2">
        <v>4</v>
      </c>
      <c r="R171" s="19">
        <v>45678</v>
      </c>
      <c r="S171" s="19">
        <v>47138</v>
      </c>
      <c r="T171" s="19">
        <v>45868</v>
      </c>
      <c r="U171" s="3">
        <f t="shared" si="16"/>
        <v>1270</v>
      </c>
      <c r="V171" s="3" t="str">
        <f t="shared" si="17"/>
        <v>Not Expired</v>
      </c>
      <c r="W171" s="3" t="str">
        <f t="shared" si="18"/>
        <v>Not Expire</v>
      </c>
      <c r="X171" s="3" t="s">
        <v>281</v>
      </c>
      <c r="Y171" s="3" t="e">
        <f>VLOOKUP(O171,[5]Working!$F:$Q,12,0)</f>
        <v>#N/A</v>
      </c>
      <c r="Z171" s="2"/>
      <c r="AA171" s="2" t="s">
        <v>116</v>
      </c>
    </row>
    <row r="172" spans="1:28" ht="18.600000000000001" hidden="1" customHeight="1" x14ac:dyDescent="0.3">
      <c r="A172" s="2">
        <v>204</v>
      </c>
      <c r="B172" s="2" t="s">
        <v>260</v>
      </c>
      <c r="C172" s="2" t="s">
        <v>17</v>
      </c>
      <c r="D172" s="2" t="s">
        <v>11</v>
      </c>
      <c r="E172" s="2" t="s">
        <v>12</v>
      </c>
      <c r="F172" s="2">
        <v>5</v>
      </c>
      <c r="G172" s="2">
        <v>107</v>
      </c>
      <c r="H172" s="2">
        <f t="shared" si="19"/>
        <v>535</v>
      </c>
      <c r="I172" s="2"/>
      <c r="J172" s="2">
        <v>0</v>
      </c>
      <c r="K172" s="2">
        <f t="shared" si="20"/>
        <v>0</v>
      </c>
      <c r="L172" s="2">
        <f t="shared" si="21"/>
        <v>0</v>
      </c>
      <c r="M172" s="2">
        <f t="shared" si="22"/>
        <v>535</v>
      </c>
      <c r="N172" s="2" t="s">
        <v>178</v>
      </c>
      <c r="O172" s="18">
        <v>3805684</v>
      </c>
      <c r="P172" s="2" t="s">
        <v>18</v>
      </c>
      <c r="Q172" s="2">
        <v>4</v>
      </c>
      <c r="R172" s="19">
        <v>45678</v>
      </c>
      <c r="S172" s="19">
        <v>47138</v>
      </c>
      <c r="T172" s="19">
        <v>45868</v>
      </c>
      <c r="U172" s="3">
        <f t="shared" si="16"/>
        <v>1270</v>
      </c>
      <c r="V172" s="3" t="str">
        <f t="shared" si="17"/>
        <v>Not Expired</v>
      </c>
      <c r="W172" s="3" t="str">
        <f t="shared" si="18"/>
        <v>Not Expire</v>
      </c>
      <c r="X172" s="3" t="s">
        <v>281</v>
      </c>
      <c r="Y172" s="3" t="e">
        <f>VLOOKUP(O172,[5]Working!$F:$Q,12,0)</f>
        <v>#N/A</v>
      </c>
      <c r="Z172" s="2"/>
      <c r="AA172" s="2" t="s">
        <v>116</v>
      </c>
    </row>
    <row r="173" spans="1:28" ht="18.600000000000001" hidden="1" customHeight="1" x14ac:dyDescent="0.3">
      <c r="A173" s="2">
        <v>221</v>
      </c>
      <c r="B173" s="2" t="s">
        <v>260</v>
      </c>
      <c r="C173" s="2" t="s">
        <v>17</v>
      </c>
      <c r="D173" s="2" t="s">
        <v>11</v>
      </c>
      <c r="E173" s="2" t="s">
        <v>12</v>
      </c>
      <c r="F173" s="2">
        <v>5</v>
      </c>
      <c r="G173" s="2">
        <v>33</v>
      </c>
      <c r="H173" s="2">
        <f t="shared" si="19"/>
        <v>165</v>
      </c>
      <c r="I173" s="2"/>
      <c r="J173" s="2">
        <v>0</v>
      </c>
      <c r="K173" s="2">
        <f t="shared" si="20"/>
        <v>0</v>
      </c>
      <c r="L173" s="2">
        <f t="shared" si="21"/>
        <v>0</v>
      </c>
      <c r="M173" s="2">
        <f t="shared" si="22"/>
        <v>165</v>
      </c>
      <c r="N173" s="2" t="s">
        <v>178</v>
      </c>
      <c r="O173" s="18">
        <v>3805683</v>
      </c>
      <c r="P173" s="2" t="s">
        <v>18</v>
      </c>
      <c r="Q173" s="2">
        <v>4</v>
      </c>
      <c r="R173" s="19">
        <v>45678</v>
      </c>
      <c r="S173" s="19">
        <v>47138</v>
      </c>
      <c r="T173" s="19">
        <v>45868</v>
      </c>
      <c r="U173" s="3">
        <f t="shared" si="16"/>
        <v>1270</v>
      </c>
      <c r="V173" s="3" t="str">
        <f t="shared" si="17"/>
        <v>Not Expired</v>
      </c>
      <c r="W173" s="3" t="str">
        <f t="shared" si="18"/>
        <v>Not Expire</v>
      </c>
      <c r="X173" s="3" t="s">
        <v>281</v>
      </c>
      <c r="Y173" s="3" t="e">
        <f>VLOOKUP(O173,[5]Working!$F:$Q,12,0)</f>
        <v>#N/A</v>
      </c>
      <c r="Z173" s="2"/>
      <c r="AA173" s="2" t="s">
        <v>116</v>
      </c>
    </row>
    <row r="174" spans="1:28" ht="18.600000000000001" hidden="1" customHeight="1" x14ac:dyDescent="0.3">
      <c r="A174" s="2">
        <v>222</v>
      </c>
      <c r="B174" s="2" t="s">
        <v>260</v>
      </c>
      <c r="C174" s="2" t="s">
        <v>17</v>
      </c>
      <c r="D174" s="2" t="s">
        <v>11</v>
      </c>
      <c r="E174" s="2" t="s">
        <v>12</v>
      </c>
      <c r="F174" s="2">
        <v>5</v>
      </c>
      <c r="G174" s="2">
        <v>3</v>
      </c>
      <c r="H174" s="2">
        <f t="shared" si="19"/>
        <v>15</v>
      </c>
      <c r="I174" s="2"/>
      <c r="J174" s="2">
        <v>0</v>
      </c>
      <c r="K174" s="2">
        <f t="shared" si="20"/>
        <v>0</v>
      </c>
      <c r="L174" s="2">
        <f t="shared" si="21"/>
        <v>0</v>
      </c>
      <c r="M174" s="2">
        <f t="shared" si="22"/>
        <v>15</v>
      </c>
      <c r="N174" s="2" t="s">
        <v>178</v>
      </c>
      <c r="O174" s="18">
        <v>3805683</v>
      </c>
      <c r="P174" s="2" t="s">
        <v>18</v>
      </c>
      <c r="Q174" s="2">
        <v>4</v>
      </c>
      <c r="R174" s="19">
        <v>45678</v>
      </c>
      <c r="S174" s="19">
        <v>47138</v>
      </c>
      <c r="T174" s="19">
        <v>45868</v>
      </c>
      <c r="U174" s="3">
        <f t="shared" si="16"/>
        <v>1270</v>
      </c>
      <c r="V174" s="3" t="str">
        <f t="shared" si="17"/>
        <v>Not Expired</v>
      </c>
      <c r="W174" s="3" t="str">
        <f t="shared" si="18"/>
        <v>Not Expire</v>
      </c>
      <c r="X174" s="3" t="s">
        <v>281</v>
      </c>
      <c r="Y174" s="3" t="e">
        <f>VLOOKUP(O174,[5]Working!$F:$Q,12,0)</f>
        <v>#N/A</v>
      </c>
      <c r="Z174" s="2"/>
      <c r="AA174" s="2" t="s">
        <v>116</v>
      </c>
    </row>
    <row r="175" spans="1:28" ht="18.600000000000001" hidden="1" customHeight="1" x14ac:dyDescent="0.3">
      <c r="A175" s="2">
        <v>40</v>
      </c>
      <c r="B175" s="2" t="s">
        <v>172</v>
      </c>
      <c r="C175" s="2" t="s">
        <v>39</v>
      </c>
      <c r="D175" s="2" t="s">
        <v>11</v>
      </c>
      <c r="E175" s="2" t="s">
        <v>12</v>
      </c>
      <c r="F175" s="2">
        <v>1.8</v>
      </c>
      <c r="G175" s="2">
        <v>81</v>
      </c>
      <c r="H175" s="2">
        <f t="shared" si="19"/>
        <v>145.80000000000001</v>
      </c>
      <c r="I175" s="2"/>
      <c r="J175" s="2">
        <v>0</v>
      </c>
      <c r="K175" s="2">
        <f t="shared" si="20"/>
        <v>0</v>
      </c>
      <c r="L175" s="2">
        <f t="shared" si="21"/>
        <v>0</v>
      </c>
      <c r="M175" s="2">
        <f t="shared" si="22"/>
        <v>145.80000000000001</v>
      </c>
      <c r="N175" s="2" t="s">
        <v>178</v>
      </c>
      <c r="O175" s="18">
        <v>3806819</v>
      </c>
      <c r="P175" s="2" t="s">
        <v>18</v>
      </c>
      <c r="Q175" s="2">
        <v>4</v>
      </c>
      <c r="R175" s="19">
        <v>45679</v>
      </c>
      <c r="S175" s="19">
        <v>47139</v>
      </c>
      <c r="T175" s="19">
        <v>45868</v>
      </c>
      <c r="U175" s="3">
        <f t="shared" si="16"/>
        <v>1271</v>
      </c>
      <c r="V175" s="3" t="str">
        <f t="shared" si="17"/>
        <v>Not Expired</v>
      </c>
      <c r="W175" s="3" t="str">
        <f t="shared" si="18"/>
        <v>Not Expire</v>
      </c>
      <c r="X175" s="3" t="s">
        <v>281</v>
      </c>
      <c r="Y175" s="3" t="e">
        <f>VLOOKUP(O175,[5]Working!$F:$Q,12,0)</f>
        <v>#N/A</v>
      </c>
      <c r="Z175" s="2"/>
      <c r="AA175" s="2" t="s">
        <v>116</v>
      </c>
    </row>
    <row r="176" spans="1:28" ht="18.600000000000001" hidden="1" customHeight="1" x14ac:dyDescent="0.3">
      <c r="A176" s="2">
        <v>220</v>
      </c>
      <c r="B176" s="2" t="s">
        <v>268</v>
      </c>
      <c r="C176" s="2" t="s">
        <v>104</v>
      </c>
      <c r="D176" s="2" t="s">
        <v>24</v>
      </c>
      <c r="E176" s="2" t="s">
        <v>12</v>
      </c>
      <c r="F176" s="2">
        <v>15</v>
      </c>
      <c r="G176" s="2">
        <v>129</v>
      </c>
      <c r="H176" s="2">
        <f t="shared" si="19"/>
        <v>1935</v>
      </c>
      <c r="I176" s="2"/>
      <c r="J176" s="2">
        <v>0</v>
      </c>
      <c r="K176" s="2">
        <f t="shared" si="20"/>
        <v>0</v>
      </c>
      <c r="L176" s="2">
        <f t="shared" si="21"/>
        <v>0</v>
      </c>
      <c r="M176" s="2">
        <f t="shared" si="22"/>
        <v>1935</v>
      </c>
      <c r="N176" s="2" t="s">
        <v>178</v>
      </c>
      <c r="O176" s="18">
        <v>3805528</v>
      </c>
      <c r="P176" s="2" t="s">
        <v>18</v>
      </c>
      <c r="Q176" s="2">
        <v>4</v>
      </c>
      <c r="R176" s="19">
        <v>45678</v>
      </c>
      <c r="S176" s="19">
        <v>47139</v>
      </c>
      <c r="T176" s="19">
        <v>45868</v>
      </c>
      <c r="U176" s="3">
        <f t="shared" si="16"/>
        <v>1271</v>
      </c>
      <c r="V176" s="3" t="str">
        <f t="shared" si="17"/>
        <v>Not Expired</v>
      </c>
      <c r="W176" s="3" t="str">
        <f t="shared" si="18"/>
        <v>Not Expire</v>
      </c>
      <c r="X176" s="3" t="s">
        <v>281</v>
      </c>
      <c r="Y176" s="3" t="e">
        <f>VLOOKUP(O176,[5]Working!$F:$Q,12,0)</f>
        <v>#N/A</v>
      </c>
      <c r="Z176" s="2"/>
      <c r="AA176" s="2" t="s">
        <v>116</v>
      </c>
    </row>
    <row r="177" spans="1:28" ht="18.600000000000001" hidden="1" customHeight="1" x14ac:dyDescent="0.3">
      <c r="A177" s="2">
        <v>224</v>
      </c>
      <c r="B177" s="2" t="s">
        <v>266</v>
      </c>
      <c r="C177" s="2" t="s">
        <v>36</v>
      </c>
      <c r="D177" s="2" t="s">
        <v>24</v>
      </c>
      <c r="E177" s="2" t="s">
        <v>12</v>
      </c>
      <c r="F177" s="2">
        <v>4.37</v>
      </c>
      <c r="G177" s="2">
        <v>1</v>
      </c>
      <c r="H177" s="2">
        <f t="shared" si="19"/>
        <v>4.37</v>
      </c>
      <c r="I177" s="2"/>
      <c r="J177" s="2">
        <v>0</v>
      </c>
      <c r="K177" s="2">
        <f t="shared" si="20"/>
        <v>0</v>
      </c>
      <c r="L177" s="2">
        <f t="shared" si="21"/>
        <v>0</v>
      </c>
      <c r="M177" s="2">
        <f t="shared" si="22"/>
        <v>4.37</v>
      </c>
      <c r="N177" s="2" t="s">
        <v>178</v>
      </c>
      <c r="O177" s="18">
        <v>3806910</v>
      </c>
      <c r="P177" s="2" t="s">
        <v>18</v>
      </c>
      <c r="Q177" s="2">
        <v>4</v>
      </c>
      <c r="R177" s="19">
        <v>45680</v>
      </c>
      <c r="S177" s="19">
        <v>47140</v>
      </c>
      <c r="T177" s="19">
        <v>45868</v>
      </c>
      <c r="U177" s="3">
        <f t="shared" si="16"/>
        <v>1272</v>
      </c>
      <c r="V177" s="3" t="str">
        <f t="shared" si="17"/>
        <v>Not Expired</v>
      </c>
      <c r="W177" s="3" t="str">
        <f t="shared" si="18"/>
        <v>Not Expire</v>
      </c>
      <c r="X177" s="3" t="s">
        <v>281</v>
      </c>
      <c r="Y177" s="3" t="e">
        <f>VLOOKUP(O177,[5]Working!$F:$Q,12,0)</f>
        <v>#N/A</v>
      </c>
      <c r="Z177" s="2"/>
      <c r="AA177" s="2" t="s">
        <v>116</v>
      </c>
    </row>
    <row r="178" spans="1:28" ht="14.4" hidden="1" x14ac:dyDescent="0.3">
      <c r="A178" s="2">
        <v>185</v>
      </c>
      <c r="B178" s="2" t="s">
        <v>263</v>
      </c>
      <c r="C178" s="2" t="s">
        <v>76</v>
      </c>
      <c r="D178" s="2" t="s">
        <v>11</v>
      </c>
      <c r="E178" s="2" t="s">
        <v>12</v>
      </c>
      <c r="F178" s="2">
        <v>0.45</v>
      </c>
      <c r="G178" s="2">
        <v>1</v>
      </c>
      <c r="H178" s="2">
        <f t="shared" si="19"/>
        <v>0.45</v>
      </c>
      <c r="I178" s="2"/>
      <c r="J178" s="2">
        <v>0</v>
      </c>
      <c r="K178" s="2">
        <f t="shared" si="20"/>
        <v>0</v>
      </c>
      <c r="L178" s="2">
        <f t="shared" si="21"/>
        <v>0</v>
      </c>
      <c r="M178" s="2">
        <f t="shared" si="22"/>
        <v>0.45</v>
      </c>
      <c r="N178" s="2" t="s">
        <v>178</v>
      </c>
      <c r="O178" s="18">
        <v>3813726</v>
      </c>
      <c r="P178" s="2" t="s">
        <v>18</v>
      </c>
      <c r="Q178" s="2">
        <v>4</v>
      </c>
      <c r="R178" s="19">
        <v>45688</v>
      </c>
      <c r="S178" s="19">
        <v>47148</v>
      </c>
      <c r="T178" s="19">
        <v>45868</v>
      </c>
      <c r="U178" s="3">
        <f t="shared" si="16"/>
        <v>1280</v>
      </c>
      <c r="V178" s="3" t="str">
        <f t="shared" si="17"/>
        <v>Not Expired</v>
      </c>
      <c r="W178" s="3" t="str">
        <f t="shared" si="18"/>
        <v>Not Expire</v>
      </c>
      <c r="X178" s="3" t="s">
        <v>281</v>
      </c>
      <c r="Y178" s="3" t="e">
        <f>VLOOKUP(O178,[5]Working!$F:$Q,12,0)</f>
        <v>#N/A</v>
      </c>
      <c r="Z178" s="2"/>
      <c r="AA178" s="2" t="s">
        <v>116</v>
      </c>
    </row>
    <row r="179" spans="1:28" ht="14.4" x14ac:dyDescent="0.3">
      <c r="A179" s="2">
        <v>73</v>
      </c>
      <c r="B179" s="2" t="s">
        <v>218</v>
      </c>
      <c r="C179" s="2" t="s">
        <v>25</v>
      </c>
      <c r="D179" s="2"/>
      <c r="E179" s="2" t="s">
        <v>12</v>
      </c>
      <c r="F179" s="2">
        <v>20</v>
      </c>
      <c r="G179" s="2">
        <f>5-1-1</f>
        <v>3</v>
      </c>
      <c r="H179" s="2">
        <f t="shared" si="19"/>
        <v>60</v>
      </c>
      <c r="I179" s="2">
        <f>2+1</f>
        <v>3</v>
      </c>
      <c r="J179" s="2">
        <v>0</v>
      </c>
      <c r="K179" s="2">
        <f t="shared" si="20"/>
        <v>60</v>
      </c>
      <c r="L179" s="2">
        <f t="shared" si="21"/>
        <v>60</v>
      </c>
      <c r="M179" s="2">
        <f t="shared" si="22"/>
        <v>0</v>
      </c>
      <c r="N179" s="2" t="s">
        <v>178</v>
      </c>
      <c r="O179" s="18">
        <v>3835295</v>
      </c>
      <c r="P179" s="2" t="s">
        <v>19</v>
      </c>
      <c r="Q179" s="2">
        <v>3</v>
      </c>
      <c r="R179" s="19">
        <v>45712</v>
      </c>
      <c r="S179" s="19">
        <v>47172</v>
      </c>
      <c r="T179" s="19">
        <v>45868</v>
      </c>
      <c r="U179" s="3">
        <f t="shared" ref="U179:U217" si="23">S179-T179</f>
        <v>1304</v>
      </c>
      <c r="V179" s="3" t="str">
        <f t="shared" ref="V179:V214" si="24">IF(U179&lt;0,"Expired","Not Expired")</f>
        <v>Not Expired</v>
      </c>
      <c r="W179" s="3" t="str">
        <f t="shared" ref="W179:W214" si="25">IF(U179&lt;-45,"Expired more than 45 Days",IF(U179&lt;0,"Recently Expired within 45 Days ago",IF(U179&lt;=45,"Will be Expire within 45 Days","Not Expire")))</f>
        <v>Not Expire</v>
      </c>
      <c r="X179" s="3" t="s">
        <v>280</v>
      </c>
      <c r="Y179" s="3" t="str">
        <f>VLOOKUP(O179,[5]Working!$F:$Q,12,0)</f>
        <v>DFIPL Purchase</v>
      </c>
      <c r="Z179" s="2"/>
      <c r="AA179" s="2" t="s">
        <v>116</v>
      </c>
      <c r="AB179" t="s">
        <v>311</v>
      </c>
    </row>
    <row r="180" spans="1:28" ht="14.4" hidden="1" x14ac:dyDescent="0.3">
      <c r="A180" s="2">
        <v>102</v>
      </c>
      <c r="B180" s="2" t="s">
        <v>218</v>
      </c>
      <c r="C180" s="2" t="s">
        <v>25</v>
      </c>
      <c r="D180" s="2"/>
      <c r="E180" s="2" t="s">
        <v>12</v>
      </c>
      <c r="F180" s="2">
        <v>20</v>
      </c>
      <c r="G180" s="2">
        <v>2</v>
      </c>
      <c r="H180" s="2">
        <f t="shared" si="19"/>
        <v>40</v>
      </c>
      <c r="I180" s="2">
        <v>2</v>
      </c>
      <c r="J180" s="2">
        <v>40</v>
      </c>
      <c r="K180" s="2">
        <f t="shared" si="20"/>
        <v>40</v>
      </c>
      <c r="L180" s="2">
        <f t="shared" si="21"/>
        <v>0</v>
      </c>
      <c r="M180" s="2">
        <f t="shared" si="22"/>
        <v>0</v>
      </c>
      <c r="N180" s="2" t="s">
        <v>178</v>
      </c>
      <c r="O180" s="18">
        <v>3835295</v>
      </c>
      <c r="P180" s="2" t="s">
        <v>18</v>
      </c>
      <c r="Q180" s="2">
        <v>4</v>
      </c>
      <c r="R180" s="19">
        <v>45712</v>
      </c>
      <c r="S180" s="19">
        <v>47172</v>
      </c>
      <c r="T180" s="19">
        <v>45868</v>
      </c>
      <c r="U180" s="3">
        <f t="shared" si="23"/>
        <v>1304</v>
      </c>
      <c r="V180" s="3" t="str">
        <f t="shared" si="24"/>
        <v>Not Expired</v>
      </c>
      <c r="W180" s="3" t="str">
        <f t="shared" si="25"/>
        <v>Not Expire</v>
      </c>
      <c r="X180" s="3" t="s">
        <v>281</v>
      </c>
      <c r="Y180" s="3"/>
      <c r="Z180" s="2"/>
      <c r="AA180" s="2" t="s">
        <v>116</v>
      </c>
    </row>
    <row r="181" spans="1:28" ht="28.8" x14ac:dyDescent="0.3">
      <c r="A181" s="27">
        <v>155</v>
      </c>
      <c r="B181" s="2" t="s">
        <v>269</v>
      </c>
      <c r="C181" s="2" t="s">
        <v>87</v>
      </c>
      <c r="D181" s="2" t="s">
        <v>24</v>
      </c>
      <c r="E181" s="2" t="s">
        <v>12</v>
      </c>
      <c r="F181" s="13">
        <v>16.02</v>
      </c>
      <c r="G181" s="2">
        <v>60</v>
      </c>
      <c r="H181" s="2">
        <f t="shared" si="19"/>
        <v>961.19999999999993</v>
      </c>
      <c r="I181" s="2">
        <f>13+2+2+3+3+3+2+2+2+3+3+2</f>
        <v>40</v>
      </c>
      <c r="J181" s="2">
        <v>208.26</v>
      </c>
      <c r="K181" s="2">
        <f t="shared" si="20"/>
        <v>640.79999999999995</v>
      </c>
      <c r="L181" s="2">
        <f t="shared" si="21"/>
        <v>432.53999999999996</v>
      </c>
      <c r="M181" s="2">
        <f t="shared" si="22"/>
        <v>320.39999999999998</v>
      </c>
      <c r="N181" s="2" t="s">
        <v>178</v>
      </c>
      <c r="O181" s="18">
        <v>3860012</v>
      </c>
      <c r="P181" s="2" t="s">
        <v>26</v>
      </c>
      <c r="Q181" s="2">
        <v>1</v>
      </c>
      <c r="R181" s="19">
        <v>45734</v>
      </c>
      <c r="S181" s="19">
        <v>47194</v>
      </c>
      <c r="T181" s="19">
        <v>45868</v>
      </c>
      <c r="U181" s="3">
        <f t="shared" si="23"/>
        <v>1326</v>
      </c>
      <c r="V181" s="3" t="str">
        <f t="shared" si="24"/>
        <v>Not Expired</v>
      </c>
      <c r="W181" s="3" t="str">
        <f t="shared" si="25"/>
        <v>Not Expire</v>
      </c>
      <c r="X181" s="3" t="s">
        <v>280</v>
      </c>
      <c r="Y181" s="3" t="str">
        <f>VLOOKUP(O181,[5]Working!$F:$Q,12,0)</f>
        <v>DFIPL Purchase</v>
      </c>
      <c r="Z181" s="2"/>
      <c r="AA181" s="2" t="s">
        <v>116</v>
      </c>
      <c r="AB181" s="31" t="s">
        <v>320</v>
      </c>
    </row>
    <row r="182" spans="1:28" ht="14.4" x14ac:dyDescent="0.3">
      <c r="A182" s="27">
        <v>128</v>
      </c>
      <c r="B182" s="2" t="s">
        <v>270</v>
      </c>
      <c r="C182" s="2" t="s">
        <v>33</v>
      </c>
      <c r="D182" s="2" t="s">
        <v>24</v>
      </c>
      <c r="E182" s="2" t="s">
        <v>12</v>
      </c>
      <c r="F182" s="13">
        <v>16.806999999999999</v>
      </c>
      <c r="G182" s="2">
        <v>3</v>
      </c>
      <c r="H182" s="2">
        <f t="shared" si="19"/>
        <v>50.420999999999992</v>
      </c>
      <c r="I182" s="2"/>
      <c r="J182" s="2">
        <v>0</v>
      </c>
      <c r="K182" s="2">
        <f t="shared" si="20"/>
        <v>0</v>
      </c>
      <c r="L182" s="2">
        <f t="shared" si="21"/>
        <v>0</v>
      </c>
      <c r="M182" s="2">
        <f t="shared" si="22"/>
        <v>50.420999999999992</v>
      </c>
      <c r="N182" s="2" t="s">
        <v>178</v>
      </c>
      <c r="O182" s="18">
        <v>3890304</v>
      </c>
      <c r="P182" s="2" t="s">
        <v>26</v>
      </c>
      <c r="Q182" s="2">
        <v>1</v>
      </c>
      <c r="R182" s="19">
        <v>45763</v>
      </c>
      <c r="S182" s="19">
        <v>47223</v>
      </c>
      <c r="T182" s="19">
        <v>45868</v>
      </c>
      <c r="U182" s="3">
        <f t="shared" si="23"/>
        <v>1355</v>
      </c>
      <c r="V182" s="3" t="str">
        <f t="shared" si="24"/>
        <v>Not Expired</v>
      </c>
      <c r="W182" s="3" t="str">
        <f t="shared" si="25"/>
        <v>Not Expire</v>
      </c>
      <c r="X182" s="3" t="s">
        <v>280</v>
      </c>
      <c r="Y182" s="3" t="str">
        <f>VLOOKUP(O182,[5]Working!$F:$Q,12,0)</f>
        <v>DFIPL Purchase</v>
      </c>
      <c r="Z182" s="2"/>
      <c r="AA182" s="2" t="s">
        <v>116</v>
      </c>
      <c r="AB182" t="s">
        <v>166</v>
      </c>
    </row>
    <row r="183" spans="1:28" ht="14.4" x14ac:dyDescent="0.3">
      <c r="A183" s="27">
        <v>154</v>
      </c>
      <c r="B183" s="2" t="s">
        <v>190</v>
      </c>
      <c r="C183" s="13" t="s">
        <v>191</v>
      </c>
      <c r="D183" s="2" t="s">
        <v>11</v>
      </c>
      <c r="E183" s="2" t="s">
        <v>12</v>
      </c>
      <c r="F183" s="2">
        <v>1.8</v>
      </c>
      <c r="G183" s="2">
        <v>3</v>
      </c>
      <c r="H183" s="2">
        <f t="shared" si="19"/>
        <v>5.4</v>
      </c>
      <c r="I183" s="2">
        <f>1+1+1</f>
        <v>3</v>
      </c>
      <c r="J183" s="2">
        <v>0</v>
      </c>
      <c r="K183" s="2">
        <f t="shared" si="20"/>
        <v>5.4</v>
      </c>
      <c r="L183" s="2">
        <f t="shared" si="21"/>
        <v>5.4</v>
      </c>
      <c r="M183" s="2">
        <f t="shared" si="22"/>
        <v>0</v>
      </c>
      <c r="N183" s="2" t="s">
        <v>178</v>
      </c>
      <c r="O183" s="18">
        <v>3896596</v>
      </c>
      <c r="P183" s="2" t="s">
        <v>26</v>
      </c>
      <c r="Q183" s="2">
        <v>1</v>
      </c>
      <c r="R183" s="19">
        <v>45770</v>
      </c>
      <c r="S183" s="19">
        <v>47230</v>
      </c>
      <c r="T183" s="19">
        <v>45868</v>
      </c>
      <c r="U183" s="3">
        <f t="shared" si="23"/>
        <v>1362</v>
      </c>
      <c r="V183" s="3" t="str">
        <f t="shared" si="24"/>
        <v>Not Expired</v>
      </c>
      <c r="W183" s="3" t="str">
        <f t="shared" si="25"/>
        <v>Not Expire</v>
      </c>
      <c r="X183" s="3" t="s">
        <v>280</v>
      </c>
      <c r="Y183" s="3" t="str">
        <f>VLOOKUP(O183,[5]Working!$F:$Q,12,0)</f>
        <v>DFIPL Purchase</v>
      </c>
      <c r="Z183" s="2"/>
      <c r="AA183" s="2" t="s">
        <v>116</v>
      </c>
      <c r="AB183" t="s">
        <v>324</v>
      </c>
    </row>
    <row r="184" spans="1:28" ht="14.4" hidden="1" x14ac:dyDescent="0.3">
      <c r="A184" s="2">
        <v>77</v>
      </c>
      <c r="B184" s="2" t="s">
        <v>254</v>
      </c>
      <c r="C184" s="2" t="s">
        <v>42</v>
      </c>
      <c r="D184" s="2"/>
      <c r="E184" s="26" t="s">
        <v>12</v>
      </c>
      <c r="F184" s="2">
        <v>20</v>
      </c>
      <c r="G184" s="2">
        <v>9</v>
      </c>
      <c r="H184" s="2">
        <f t="shared" ref="H184:H218" si="26">F184*G184</f>
        <v>180</v>
      </c>
      <c r="I184" s="27"/>
      <c r="J184" s="27">
        <v>0</v>
      </c>
      <c r="K184" s="2">
        <f t="shared" si="20"/>
        <v>0</v>
      </c>
      <c r="L184" s="2">
        <f t="shared" si="21"/>
        <v>0</v>
      </c>
      <c r="M184" s="2">
        <f t="shared" si="22"/>
        <v>180</v>
      </c>
      <c r="N184" s="2" t="s">
        <v>178</v>
      </c>
      <c r="O184" s="18">
        <v>74045233</v>
      </c>
      <c r="P184" s="2" t="s">
        <v>59</v>
      </c>
      <c r="Q184" s="2">
        <v>1</v>
      </c>
      <c r="R184" s="19">
        <v>45406</v>
      </c>
      <c r="S184" s="19">
        <v>47232</v>
      </c>
      <c r="T184" s="19">
        <v>45868</v>
      </c>
      <c r="U184" s="3">
        <f t="shared" si="23"/>
        <v>1364</v>
      </c>
      <c r="V184" s="3" t="str">
        <f t="shared" si="24"/>
        <v>Not Expired</v>
      </c>
      <c r="W184" s="3" t="str">
        <f t="shared" si="25"/>
        <v>Not Expire</v>
      </c>
      <c r="X184" s="3" t="s">
        <v>281</v>
      </c>
      <c r="Y184" s="3" t="e">
        <f>VLOOKUP(O184,[5]Working!$F:$Q,12,0)</f>
        <v>#N/A</v>
      </c>
      <c r="Z184" s="2"/>
      <c r="AA184" s="2" t="s">
        <v>116</v>
      </c>
      <c r="AB184" t="s">
        <v>162</v>
      </c>
    </row>
    <row r="185" spans="1:28" ht="14.4" x14ac:dyDescent="0.3">
      <c r="A185" s="27">
        <v>129</v>
      </c>
      <c r="B185" s="2" t="s">
        <v>252</v>
      </c>
      <c r="C185" s="2" t="s">
        <v>81</v>
      </c>
      <c r="D185" s="2" t="s">
        <v>24</v>
      </c>
      <c r="E185" s="2" t="s">
        <v>12</v>
      </c>
      <c r="F185" s="2">
        <v>17.309999999999999</v>
      </c>
      <c r="G185" s="2">
        <v>1</v>
      </c>
      <c r="H185" s="2">
        <f t="shared" si="26"/>
        <v>17.309999999999999</v>
      </c>
      <c r="I185" s="2"/>
      <c r="J185" s="2">
        <v>0</v>
      </c>
      <c r="K185" s="2">
        <f t="shared" si="20"/>
        <v>0</v>
      </c>
      <c r="L185" s="2">
        <f t="shared" si="21"/>
        <v>0</v>
      </c>
      <c r="M185" s="2">
        <f t="shared" si="22"/>
        <v>17.309999999999999</v>
      </c>
      <c r="N185" s="2" t="s">
        <v>178</v>
      </c>
      <c r="O185" s="18">
        <v>3900767</v>
      </c>
      <c r="P185" s="2" t="s">
        <v>26</v>
      </c>
      <c r="Q185" s="2">
        <v>1</v>
      </c>
      <c r="R185" s="19">
        <v>45775</v>
      </c>
      <c r="S185" s="19">
        <v>47235</v>
      </c>
      <c r="T185" s="19">
        <v>45868</v>
      </c>
      <c r="U185" s="3">
        <f t="shared" si="23"/>
        <v>1367</v>
      </c>
      <c r="V185" s="3" t="str">
        <f t="shared" si="24"/>
        <v>Not Expired</v>
      </c>
      <c r="W185" s="3" t="str">
        <f t="shared" si="25"/>
        <v>Not Expire</v>
      </c>
      <c r="X185" s="3" t="s">
        <v>280</v>
      </c>
      <c r="Y185" s="3" t="str">
        <f>VLOOKUP(O185,[5]Working!$F:$Q,12,0)</f>
        <v>DFIPL Purchase</v>
      </c>
      <c r="Z185" s="2"/>
      <c r="AA185" s="2" t="s">
        <v>116</v>
      </c>
    </row>
    <row r="186" spans="1:28" ht="14.4" x14ac:dyDescent="0.3">
      <c r="A186" s="27">
        <v>130</v>
      </c>
      <c r="B186" s="13" t="s">
        <v>283</v>
      </c>
      <c r="C186" s="2" t="s">
        <v>82</v>
      </c>
      <c r="D186" s="2" t="s">
        <v>24</v>
      </c>
      <c r="E186" s="2" t="s">
        <v>12</v>
      </c>
      <c r="F186" s="2">
        <v>18.8</v>
      </c>
      <c r="G186" s="2">
        <v>1</v>
      </c>
      <c r="H186" s="2">
        <f t="shared" si="26"/>
        <v>18.8</v>
      </c>
      <c r="I186" s="2"/>
      <c r="J186" s="2">
        <v>0</v>
      </c>
      <c r="K186" s="2">
        <f t="shared" si="20"/>
        <v>0</v>
      </c>
      <c r="L186" s="2">
        <f t="shared" si="21"/>
        <v>0</v>
      </c>
      <c r="M186" s="2">
        <f t="shared" si="22"/>
        <v>18.8</v>
      </c>
      <c r="N186" s="2" t="s">
        <v>178</v>
      </c>
      <c r="O186" s="18">
        <v>3900767</v>
      </c>
      <c r="P186" s="2" t="s">
        <v>26</v>
      </c>
      <c r="Q186" s="2">
        <v>1</v>
      </c>
      <c r="R186" s="19">
        <v>45775</v>
      </c>
      <c r="S186" s="19">
        <v>47235</v>
      </c>
      <c r="T186" s="19">
        <v>45868</v>
      </c>
      <c r="U186" s="3">
        <f t="shared" si="23"/>
        <v>1367</v>
      </c>
      <c r="V186" s="3" t="str">
        <f t="shared" si="24"/>
        <v>Not Expired</v>
      </c>
      <c r="W186" s="3" t="str">
        <f t="shared" si="25"/>
        <v>Not Expire</v>
      </c>
      <c r="X186" s="3" t="s">
        <v>280</v>
      </c>
      <c r="Y186" s="3" t="str">
        <f>VLOOKUP(O186,[5]Working!$F:$Q,12,0)</f>
        <v>DFIPL Purchase</v>
      </c>
      <c r="Z186" s="2"/>
      <c r="AA186" s="2" t="s">
        <v>116</v>
      </c>
    </row>
    <row r="187" spans="1:28" ht="14.4" x14ac:dyDescent="0.3">
      <c r="A187" s="27">
        <v>131</v>
      </c>
      <c r="B187" s="13" t="s">
        <v>220</v>
      </c>
      <c r="C187" s="2" t="s">
        <v>83</v>
      </c>
      <c r="D187" s="2" t="s">
        <v>24</v>
      </c>
      <c r="E187" s="2" t="s">
        <v>12</v>
      </c>
      <c r="F187" s="2">
        <v>17.39</v>
      </c>
      <c r="G187" s="2">
        <v>1</v>
      </c>
      <c r="H187" s="2">
        <f t="shared" si="26"/>
        <v>17.39</v>
      </c>
      <c r="I187" s="2"/>
      <c r="J187" s="2">
        <v>0</v>
      </c>
      <c r="K187" s="2">
        <f t="shared" si="20"/>
        <v>0</v>
      </c>
      <c r="L187" s="2">
        <f t="shared" si="21"/>
        <v>0</v>
      </c>
      <c r="M187" s="2">
        <f t="shared" si="22"/>
        <v>17.39</v>
      </c>
      <c r="N187" s="2" t="s">
        <v>178</v>
      </c>
      <c r="O187" s="18">
        <v>3900767</v>
      </c>
      <c r="P187" s="2" t="s">
        <v>26</v>
      </c>
      <c r="Q187" s="2">
        <v>1</v>
      </c>
      <c r="R187" s="19">
        <v>45775</v>
      </c>
      <c r="S187" s="19">
        <v>47235</v>
      </c>
      <c r="T187" s="19">
        <v>45868</v>
      </c>
      <c r="U187" s="3">
        <f t="shared" si="23"/>
        <v>1367</v>
      </c>
      <c r="V187" s="3" t="str">
        <f t="shared" si="24"/>
        <v>Not Expired</v>
      </c>
      <c r="W187" s="3" t="str">
        <f t="shared" si="25"/>
        <v>Not Expire</v>
      </c>
      <c r="X187" s="3" t="s">
        <v>280</v>
      </c>
      <c r="Y187" s="3" t="str">
        <f>VLOOKUP(O187,[5]Working!$F:$Q,12,0)</f>
        <v>DFIPL Purchase</v>
      </c>
      <c r="Z187" s="2"/>
      <c r="AA187" s="2" t="s">
        <v>116</v>
      </c>
    </row>
    <row r="188" spans="1:28" ht="14.4" x14ac:dyDescent="0.3">
      <c r="A188" s="18">
        <v>16</v>
      </c>
      <c r="B188" s="2" t="s">
        <v>249</v>
      </c>
      <c r="C188" s="33" t="s">
        <v>27</v>
      </c>
      <c r="D188" s="10"/>
      <c r="E188" s="33" t="s">
        <v>12</v>
      </c>
      <c r="F188" s="18">
        <v>20</v>
      </c>
      <c r="G188" s="18">
        <v>2</v>
      </c>
      <c r="H188" s="18">
        <f t="shared" si="26"/>
        <v>40</v>
      </c>
      <c r="I188" s="18"/>
      <c r="J188" s="18">
        <v>0</v>
      </c>
      <c r="K188" s="2">
        <f t="shared" si="20"/>
        <v>0</v>
      </c>
      <c r="L188" s="2">
        <f t="shared" si="21"/>
        <v>0</v>
      </c>
      <c r="M188" s="2">
        <f t="shared" si="22"/>
        <v>40</v>
      </c>
      <c r="N188" s="18" t="s">
        <v>178</v>
      </c>
      <c r="O188" s="18">
        <v>3902728</v>
      </c>
      <c r="P188" s="33" t="s">
        <v>26</v>
      </c>
      <c r="Q188" s="18">
        <v>1</v>
      </c>
      <c r="R188" s="34">
        <v>45776</v>
      </c>
      <c r="S188" s="34">
        <v>47236</v>
      </c>
      <c r="T188" s="19">
        <v>45868</v>
      </c>
      <c r="U188" s="42">
        <f t="shared" si="23"/>
        <v>1368</v>
      </c>
      <c r="V188" s="35" t="str">
        <f t="shared" si="24"/>
        <v>Not Expired</v>
      </c>
      <c r="W188" s="43" t="str">
        <f t="shared" si="25"/>
        <v>Not Expire</v>
      </c>
      <c r="X188" s="3" t="s">
        <v>280</v>
      </c>
      <c r="Y188" s="3" t="str">
        <f>VLOOKUP(O188,[5]Working!$F:$Q,12,0)</f>
        <v>DFIPL Purchase</v>
      </c>
      <c r="Z188" s="2"/>
      <c r="AA188" s="2" t="s">
        <v>116</v>
      </c>
      <c r="AB188" s="31" t="s">
        <v>295</v>
      </c>
    </row>
    <row r="189" spans="1:28" ht="43.2" x14ac:dyDescent="0.3">
      <c r="A189" s="18">
        <v>153</v>
      </c>
      <c r="B189" s="2" t="s">
        <v>271</v>
      </c>
      <c r="C189" s="36" t="s">
        <v>152</v>
      </c>
      <c r="D189" s="36" t="s">
        <v>11</v>
      </c>
      <c r="E189" s="36" t="s">
        <v>12</v>
      </c>
      <c r="F189" s="36">
        <v>2.2000000000000002</v>
      </c>
      <c r="G189" s="36">
        <v>69</v>
      </c>
      <c r="H189" s="36">
        <f t="shared" si="26"/>
        <v>151.80000000000001</v>
      </c>
      <c r="I189" s="18">
        <f>23+2+2+3+3+3+2+2+2+3+3+2</f>
        <v>50</v>
      </c>
      <c r="J189" s="18">
        <v>50.6</v>
      </c>
      <c r="K189" s="18">
        <f t="shared" si="20"/>
        <v>110.00000000000001</v>
      </c>
      <c r="L189" s="2">
        <f t="shared" si="21"/>
        <v>59.400000000000013</v>
      </c>
      <c r="M189" s="18">
        <f t="shared" si="22"/>
        <v>41.8</v>
      </c>
      <c r="N189" s="36" t="s">
        <v>178</v>
      </c>
      <c r="O189" s="18">
        <v>3904148</v>
      </c>
      <c r="P189" s="33" t="s">
        <v>26</v>
      </c>
      <c r="Q189" s="36">
        <v>1</v>
      </c>
      <c r="R189" s="37">
        <v>45776</v>
      </c>
      <c r="S189" s="37">
        <v>47236</v>
      </c>
      <c r="T189" s="19">
        <v>45868</v>
      </c>
      <c r="U189" s="38">
        <f t="shared" si="23"/>
        <v>1368</v>
      </c>
      <c r="V189" s="38" t="str">
        <f t="shared" si="24"/>
        <v>Not Expired</v>
      </c>
      <c r="W189" s="38" t="str">
        <f t="shared" si="25"/>
        <v>Not Expire</v>
      </c>
      <c r="X189" s="3" t="s">
        <v>280</v>
      </c>
      <c r="Y189" s="3" t="str">
        <f>VLOOKUP(O189,[5]Working!$F:$Q,12,0)</f>
        <v>DFIPL Purchase</v>
      </c>
      <c r="Z189" s="2"/>
      <c r="AA189" s="2" t="s">
        <v>116</v>
      </c>
      <c r="AB189" s="31" t="s">
        <v>321</v>
      </c>
    </row>
    <row r="190" spans="1:28" ht="14.4" x14ac:dyDescent="0.3">
      <c r="A190" s="27">
        <v>15</v>
      </c>
      <c r="B190" s="2" t="s">
        <v>218</v>
      </c>
      <c r="C190" s="2" t="s">
        <v>25</v>
      </c>
      <c r="D190" s="2"/>
      <c r="E190" s="2" t="s">
        <v>12</v>
      </c>
      <c r="F190" s="2">
        <v>20</v>
      </c>
      <c r="G190" s="2">
        <v>16</v>
      </c>
      <c r="H190" s="2">
        <f t="shared" si="26"/>
        <v>320</v>
      </c>
      <c r="I190" s="2">
        <v>2</v>
      </c>
      <c r="J190" s="2">
        <v>0</v>
      </c>
      <c r="K190" s="2">
        <f t="shared" si="20"/>
        <v>40</v>
      </c>
      <c r="L190" s="2">
        <f t="shared" si="21"/>
        <v>40</v>
      </c>
      <c r="M190" s="2">
        <f t="shared" si="22"/>
        <v>280</v>
      </c>
      <c r="N190" s="2" t="s">
        <v>178</v>
      </c>
      <c r="O190" s="18">
        <v>3904020</v>
      </c>
      <c r="P190" s="12" t="s">
        <v>26</v>
      </c>
      <c r="Q190" s="2">
        <v>1</v>
      </c>
      <c r="R190" s="19">
        <v>45777</v>
      </c>
      <c r="S190" s="19">
        <v>47237</v>
      </c>
      <c r="T190" s="19">
        <v>45868</v>
      </c>
      <c r="U190" s="3">
        <f t="shared" si="23"/>
        <v>1369</v>
      </c>
      <c r="V190" s="3" t="str">
        <f t="shared" si="24"/>
        <v>Not Expired</v>
      </c>
      <c r="W190" s="3" t="str">
        <f t="shared" si="25"/>
        <v>Not Expire</v>
      </c>
      <c r="X190" s="3" t="s">
        <v>280</v>
      </c>
      <c r="Y190" s="3" t="str">
        <f>VLOOKUP(O190,[5]Working!$F:$Q,12,0)</f>
        <v>DFIPL Purchase</v>
      </c>
      <c r="Z190" s="2"/>
      <c r="AA190" s="2" t="s">
        <v>116</v>
      </c>
      <c r="AB190" s="31" t="s">
        <v>294</v>
      </c>
    </row>
    <row r="191" spans="1:28" ht="14.4" x14ac:dyDescent="0.3">
      <c r="A191" s="27">
        <v>156</v>
      </c>
      <c r="B191" s="2" t="s">
        <v>269</v>
      </c>
      <c r="C191" s="2" t="s">
        <v>153</v>
      </c>
      <c r="D191" s="2" t="s">
        <v>24</v>
      </c>
      <c r="E191" s="2" t="s">
        <v>12</v>
      </c>
      <c r="F191" s="13">
        <v>16.02</v>
      </c>
      <c r="G191" s="2">
        <v>10</v>
      </c>
      <c r="H191" s="2">
        <f t="shared" si="26"/>
        <v>160.19999999999999</v>
      </c>
      <c r="I191" s="2">
        <v>10</v>
      </c>
      <c r="J191" s="2">
        <v>160.19999999999999</v>
      </c>
      <c r="K191" s="2">
        <f t="shared" si="20"/>
        <v>160.19999999999999</v>
      </c>
      <c r="L191" s="2">
        <f t="shared" si="21"/>
        <v>0</v>
      </c>
      <c r="M191" s="2">
        <f t="shared" si="22"/>
        <v>0</v>
      </c>
      <c r="N191" s="2" t="s">
        <v>178</v>
      </c>
      <c r="O191" s="18">
        <v>3904037</v>
      </c>
      <c r="P191" s="12" t="s">
        <v>26</v>
      </c>
      <c r="Q191" s="2">
        <v>1</v>
      </c>
      <c r="R191" s="19">
        <v>45777</v>
      </c>
      <c r="S191" s="19">
        <v>47237</v>
      </c>
      <c r="T191" s="19">
        <v>45868</v>
      </c>
      <c r="U191" s="3">
        <f t="shared" si="23"/>
        <v>1369</v>
      </c>
      <c r="V191" s="3" t="str">
        <f t="shared" si="24"/>
        <v>Not Expired</v>
      </c>
      <c r="W191" s="3" t="str">
        <f t="shared" si="25"/>
        <v>Not Expire</v>
      </c>
      <c r="X191" s="3" t="s">
        <v>280</v>
      </c>
      <c r="Y191" s="3" t="str">
        <f>VLOOKUP(O191,[5]Working!$F:$Q,12,0)</f>
        <v>DFIPL Purchase</v>
      </c>
      <c r="Z191" s="2"/>
      <c r="AA191" s="2" t="s">
        <v>116</v>
      </c>
      <c r="AB191" s="31" t="s">
        <v>165</v>
      </c>
    </row>
    <row r="192" spans="1:28" ht="14.4" x14ac:dyDescent="0.3">
      <c r="A192" s="27">
        <v>14</v>
      </c>
      <c r="B192" s="2" t="s">
        <v>218</v>
      </c>
      <c r="C192" s="2" t="s">
        <v>25</v>
      </c>
      <c r="D192" s="2"/>
      <c r="E192" s="2" t="s">
        <v>12</v>
      </c>
      <c r="F192" s="2">
        <v>20</v>
      </c>
      <c r="G192" s="2">
        <v>33</v>
      </c>
      <c r="H192" s="2">
        <f t="shared" si="26"/>
        <v>660</v>
      </c>
      <c r="I192" s="2">
        <f>2+1+1+2+2+2+2+2+2</f>
        <v>16</v>
      </c>
      <c r="J192" s="2">
        <v>40</v>
      </c>
      <c r="K192" s="2">
        <f t="shared" si="20"/>
        <v>320</v>
      </c>
      <c r="L192" s="2">
        <f t="shared" si="21"/>
        <v>280</v>
      </c>
      <c r="M192" s="2">
        <f t="shared" si="22"/>
        <v>340</v>
      </c>
      <c r="N192" s="2" t="s">
        <v>178</v>
      </c>
      <c r="O192" s="18">
        <v>3905653</v>
      </c>
      <c r="P192" s="12" t="s">
        <v>26</v>
      </c>
      <c r="Q192" s="2">
        <v>1</v>
      </c>
      <c r="R192" s="19">
        <v>45779</v>
      </c>
      <c r="S192" s="19">
        <v>47239</v>
      </c>
      <c r="T192" s="19">
        <v>45868</v>
      </c>
      <c r="U192" s="3">
        <f t="shared" si="23"/>
        <v>1371</v>
      </c>
      <c r="V192" s="3" t="str">
        <f t="shared" si="24"/>
        <v>Not Expired</v>
      </c>
      <c r="W192" s="3" t="str">
        <f t="shared" si="25"/>
        <v>Not Expire</v>
      </c>
      <c r="X192" s="3" t="s">
        <v>280</v>
      </c>
      <c r="Y192" s="3" t="str">
        <f>VLOOKUP(O192,[5]Working!$F:$Q,12,0)</f>
        <v>DFIPL Purchase</v>
      </c>
      <c r="Z192" s="2"/>
      <c r="AA192" s="2" t="s">
        <v>116</v>
      </c>
      <c r="AB192" t="s">
        <v>322</v>
      </c>
    </row>
    <row r="193" spans="1:28" ht="28.8" x14ac:dyDescent="0.3">
      <c r="A193" s="36">
        <v>8</v>
      </c>
      <c r="B193" s="2" t="s">
        <v>257</v>
      </c>
      <c r="C193" s="36" t="s">
        <v>20</v>
      </c>
      <c r="D193" s="36" t="s">
        <v>21</v>
      </c>
      <c r="E193" s="36" t="s">
        <v>12</v>
      </c>
      <c r="F193" s="36">
        <v>3.3</v>
      </c>
      <c r="G193" s="36">
        <v>31</v>
      </c>
      <c r="H193" s="36">
        <f t="shared" si="26"/>
        <v>102.3</v>
      </c>
      <c r="I193" s="36">
        <f>10+3+3+3+3+3+2+3+1</f>
        <v>31</v>
      </c>
      <c r="J193" s="36">
        <v>33</v>
      </c>
      <c r="K193" s="18">
        <f t="shared" si="20"/>
        <v>102.3</v>
      </c>
      <c r="L193" s="2">
        <f t="shared" si="21"/>
        <v>69.3</v>
      </c>
      <c r="M193" s="18">
        <f t="shared" si="22"/>
        <v>0</v>
      </c>
      <c r="N193" s="36" t="s">
        <v>178</v>
      </c>
      <c r="O193" s="18">
        <v>3910488</v>
      </c>
      <c r="P193" s="36" t="s">
        <v>19</v>
      </c>
      <c r="Q193" s="36">
        <v>3</v>
      </c>
      <c r="R193" s="37">
        <v>45784</v>
      </c>
      <c r="S193" s="37">
        <v>47244</v>
      </c>
      <c r="T193" s="19">
        <v>45868</v>
      </c>
      <c r="U193" s="38">
        <f t="shared" si="23"/>
        <v>1376</v>
      </c>
      <c r="V193" s="38" t="str">
        <f t="shared" si="24"/>
        <v>Not Expired</v>
      </c>
      <c r="W193" s="38" t="str">
        <f t="shared" si="25"/>
        <v>Not Expire</v>
      </c>
      <c r="X193" s="3" t="s">
        <v>280</v>
      </c>
      <c r="Y193" s="3" t="str">
        <f>VLOOKUP(O193,[5]Working!$F:$Q,12,0)</f>
        <v>DFIPL Purchase</v>
      </c>
      <c r="Z193" s="2"/>
      <c r="AA193" s="2" t="s">
        <v>116</v>
      </c>
      <c r="AB193" s="31" t="s">
        <v>310</v>
      </c>
    </row>
    <row r="194" spans="1:28" ht="14.4" x14ac:dyDescent="0.3">
      <c r="A194" s="2">
        <v>146</v>
      </c>
      <c r="B194" s="2" t="s">
        <v>257</v>
      </c>
      <c r="C194" s="2" t="s">
        <v>20</v>
      </c>
      <c r="D194" s="2" t="s">
        <v>11</v>
      </c>
      <c r="E194" s="2" t="s">
        <v>12</v>
      </c>
      <c r="F194" s="2">
        <v>3.3</v>
      </c>
      <c r="G194" s="2">
        <v>32</v>
      </c>
      <c r="H194" s="2">
        <f t="shared" si="26"/>
        <v>105.6</v>
      </c>
      <c r="I194" s="2">
        <f>2+2+3+2+3</f>
        <v>12</v>
      </c>
      <c r="J194" s="2">
        <v>0</v>
      </c>
      <c r="K194" s="18">
        <f t="shared" si="20"/>
        <v>39.599999999999994</v>
      </c>
      <c r="L194" s="2">
        <f t="shared" si="21"/>
        <v>39.599999999999994</v>
      </c>
      <c r="M194" s="18">
        <f t="shared" si="22"/>
        <v>66</v>
      </c>
      <c r="N194" s="2" t="s">
        <v>178</v>
      </c>
      <c r="O194" s="18">
        <v>3910488</v>
      </c>
      <c r="P194" s="2" t="s">
        <v>19</v>
      </c>
      <c r="Q194" s="2">
        <v>3</v>
      </c>
      <c r="R194" s="19">
        <v>45784</v>
      </c>
      <c r="S194" s="19">
        <v>47244</v>
      </c>
      <c r="T194" s="19">
        <v>45868</v>
      </c>
      <c r="U194" s="3">
        <f t="shared" si="23"/>
        <v>1376</v>
      </c>
      <c r="V194" s="3" t="str">
        <f t="shared" si="24"/>
        <v>Not Expired</v>
      </c>
      <c r="W194" s="3" t="str">
        <f t="shared" si="25"/>
        <v>Not Expire</v>
      </c>
      <c r="X194" s="3" t="s">
        <v>280</v>
      </c>
      <c r="Y194" s="3" t="str">
        <f>VLOOKUP(O194,[5]Working!$F:$Q,12,0)</f>
        <v>DFIPL Purchase</v>
      </c>
      <c r="Z194" s="2"/>
      <c r="AA194" s="2" t="s">
        <v>116</v>
      </c>
      <c r="AB194" t="s">
        <v>329</v>
      </c>
    </row>
    <row r="195" spans="1:28" ht="28.8" x14ac:dyDescent="0.3">
      <c r="A195" s="2">
        <v>17</v>
      </c>
      <c r="B195" s="2" t="s">
        <v>258</v>
      </c>
      <c r="C195" s="2" t="s">
        <v>28</v>
      </c>
      <c r="D195" s="2" t="s">
        <v>24</v>
      </c>
      <c r="E195" s="2" t="s">
        <v>12</v>
      </c>
      <c r="F195" s="2">
        <v>16.7</v>
      </c>
      <c r="G195" s="2">
        <v>31</v>
      </c>
      <c r="H195" s="2">
        <f t="shared" si="26"/>
        <v>517.69999999999993</v>
      </c>
      <c r="I195" s="2">
        <f>10+3+3+3+3+3+2+3+1</f>
        <v>31</v>
      </c>
      <c r="J195" s="2">
        <v>167</v>
      </c>
      <c r="K195" s="2">
        <f t="shared" si="20"/>
        <v>517.69999999999993</v>
      </c>
      <c r="L195" s="2">
        <f t="shared" si="21"/>
        <v>350.69999999999993</v>
      </c>
      <c r="M195" s="2">
        <f t="shared" si="22"/>
        <v>0</v>
      </c>
      <c r="N195" s="2" t="s">
        <v>178</v>
      </c>
      <c r="O195" s="18">
        <v>3923158</v>
      </c>
      <c r="P195" s="2" t="s">
        <v>19</v>
      </c>
      <c r="Q195" s="2">
        <v>3</v>
      </c>
      <c r="R195" s="19">
        <v>45794</v>
      </c>
      <c r="S195" s="19">
        <v>47254</v>
      </c>
      <c r="T195" s="19">
        <v>45868</v>
      </c>
      <c r="U195" s="3">
        <f t="shared" si="23"/>
        <v>1386</v>
      </c>
      <c r="V195" s="3" t="str">
        <f t="shared" si="24"/>
        <v>Not Expired</v>
      </c>
      <c r="W195" s="3" t="str">
        <f t="shared" si="25"/>
        <v>Not Expire</v>
      </c>
      <c r="X195" s="3" t="s">
        <v>280</v>
      </c>
      <c r="Y195" s="3" t="str">
        <f>VLOOKUP(O195,[5]Working!$F:$Q,12,0)</f>
        <v>DFIPL Purchase</v>
      </c>
      <c r="Z195" s="2"/>
      <c r="AA195" s="2" t="s">
        <v>116</v>
      </c>
      <c r="AB195" s="31" t="s">
        <v>309</v>
      </c>
    </row>
    <row r="196" spans="1:28" ht="14.4" x14ac:dyDescent="0.3">
      <c r="A196" s="18">
        <v>148</v>
      </c>
      <c r="B196" s="2" t="s">
        <v>190</v>
      </c>
      <c r="C196" s="13" t="s">
        <v>201</v>
      </c>
      <c r="D196" s="33" t="s">
        <v>11</v>
      </c>
      <c r="E196" s="33" t="s">
        <v>12</v>
      </c>
      <c r="F196" s="18">
        <v>1.8</v>
      </c>
      <c r="G196" s="18">
        <v>11</v>
      </c>
      <c r="H196" s="18">
        <f t="shared" si="26"/>
        <v>19.8</v>
      </c>
      <c r="I196" s="18">
        <f>4+1+2+1</f>
        <v>8</v>
      </c>
      <c r="J196" s="18">
        <v>7.2</v>
      </c>
      <c r="K196" s="2">
        <f t="shared" ref="K196:K228" si="27">I196*F196</f>
        <v>14.4</v>
      </c>
      <c r="L196" s="2">
        <f t="shared" ref="L196:L228" si="28">K196-J196</f>
        <v>7.2</v>
      </c>
      <c r="M196" s="2">
        <f t="shared" ref="M196:M228" si="29">H196-K196</f>
        <v>5.4</v>
      </c>
      <c r="N196" s="18" t="s">
        <v>178</v>
      </c>
      <c r="O196" s="18">
        <v>3937843</v>
      </c>
      <c r="P196" s="33" t="s">
        <v>26</v>
      </c>
      <c r="Q196" s="18">
        <v>1</v>
      </c>
      <c r="R196" s="40">
        <v>45807</v>
      </c>
      <c r="S196" s="40">
        <v>47267</v>
      </c>
      <c r="T196" s="19">
        <v>45868</v>
      </c>
      <c r="U196" s="42">
        <f t="shared" si="23"/>
        <v>1399</v>
      </c>
      <c r="V196" s="35" t="str">
        <f t="shared" si="24"/>
        <v>Not Expired</v>
      </c>
      <c r="W196" s="43" t="str">
        <f t="shared" si="25"/>
        <v>Not Expire</v>
      </c>
      <c r="X196" s="3" t="s">
        <v>280</v>
      </c>
      <c r="Y196" s="3" t="str">
        <f>VLOOKUP(O196,[5]Working!$F:$Q,12,0)</f>
        <v>DFIPL Purchase</v>
      </c>
      <c r="Z196" s="2"/>
      <c r="AA196" s="2" t="s">
        <v>116</v>
      </c>
      <c r="AB196" s="31" t="s">
        <v>308</v>
      </c>
    </row>
    <row r="197" spans="1:28" ht="43.2" x14ac:dyDescent="0.3">
      <c r="A197" s="36">
        <v>23</v>
      </c>
      <c r="B197" s="2" t="s">
        <v>249</v>
      </c>
      <c r="C197" s="36" t="s">
        <v>32</v>
      </c>
      <c r="D197" s="36"/>
      <c r="E197" s="36" t="s">
        <v>12</v>
      </c>
      <c r="F197" s="36">
        <v>20</v>
      </c>
      <c r="G197" s="36">
        <v>16</v>
      </c>
      <c r="H197" s="36">
        <f t="shared" si="26"/>
        <v>320</v>
      </c>
      <c r="I197" s="18">
        <f>11+10</f>
        <v>21</v>
      </c>
      <c r="J197" s="18">
        <v>180</v>
      </c>
      <c r="K197" s="18">
        <f t="shared" si="27"/>
        <v>420</v>
      </c>
      <c r="L197" s="2">
        <f t="shared" si="28"/>
        <v>240</v>
      </c>
      <c r="M197" s="18">
        <f t="shared" si="29"/>
        <v>-100</v>
      </c>
      <c r="N197" s="36" t="s">
        <v>178</v>
      </c>
      <c r="O197" s="50">
        <v>3940620</v>
      </c>
      <c r="P197" s="36" t="s">
        <v>19</v>
      </c>
      <c r="Q197" s="36">
        <v>3</v>
      </c>
      <c r="R197" s="37">
        <v>45811</v>
      </c>
      <c r="S197" s="37">
        <v>47271</v>
      </c>
      <c r="T197" s="19">
        <v>45868</v>
      </c>
      <c r="U197" s="38">
        <f t="shared" si="23"/>
        <v>1403</v>
      </c>
      <c r="V197" s="38" t="str">
        <f t="shared" si="24"/>
        <v>Not Expired</v>
      </c>
      <c r="W197" s="38" t="str">
        <f t="shared" si="25"/>
        <v>Not Expire</v>
      </c>
      <c r="X197" s="3" t="s">
        <v>280</v>
      </c>
      <c r="Y197" s="3" t="str">
        <f>VLOOKUP(O197,[5]Working!$F:$Q,12,0)</f>
        <v>DFIPL Purchase</v>
      </c>
      <c r="Z197" s="2"/>
      <c r="AA197" s="2" t="s">
        <v>116</v>
      </c>
      <c r="AB197" s="31" t="s">
        <v>325</v>
      </c>
    </row>
    <row r="198" spans="1:28" ht="14.4" x14ac:dyDescent="0.3">
      <c r="A198" s="27">
        <v>150</v>
      </c>
      <c r="B198" s="2" t="s">
        <v>272</v>
      </c>
      <c r="C198" s="2" t="s">
        <v>36</v>
      </c>
      <c r="D198" s="12" t="s">
        <v>24</v>
      </c>
      <c r="E198" s="12" t="s">
        <v>12</v>
      </c>
      <c r="F198" s="2">
        <v>17.77</v>
      </c>
      <c r="G198" s="2">
        <v>1</v>
      </c>
      <c r="H198" s="2">
        <f t="shared" si="26"/>
        <v>17.77</v>
      </c>
      <c r="I198" s="2"/>
      <c r="J198" s="2">
        <v>0</v>
      </c>
      <c r="K198" s="2">
        <f t="shared" si="27"/>
        <v>0</v>
      </c>
      <c r="L198" s="2">
        <f t="shared" si="28"/>
        <v>0</v>
      </c>
      <c r="M198" s="2">
        <f t="shared" si="29"/>
        <v>17.77</v>
      </c>
      <c r="N198" s="2" t="s">
        <v>178</v>
      </c>
      <c r="O198" s="18">
        <v>3943270</v>
      </c>
      <c r="P198" s="12" t="s">
        <v>26</v>
      </c>
      <c r="Q198" s="2">
        <v>1</v>
      </c>
      <c r="R198" s="19">
        <v>45813</v>
      </c>
      <c r="S198" s="19">
        <v>47273</v>
      </c>
      <c r="T198" s="19">
        <v>45868</v>
      </c>
      <c r="U198" s="29">
        <f t="shared" si="23"/>
        <v>1405</v>
      </c>
      <c r="V198" s="3" t="str">
        <f t="shared" si="24"/>
        <v>Not Expired</v>
      </c>
      <c r="W198" s="44" t="str">
        <f t="shared" si="25"/>
        <v>Not Expire</v>
      </c>
      <c r="X198" s="3" t="s">
        <v>280</v>
      </c>
      <c r="Y198" s="3" t="str">
        <f>VLOOKUP(O198,[5]Working!$F:$Q,12,0)</f>
        <v>DFIPL Purchase</v>
      </c>
      <c r="Z198" s="2"/>
      <c r="AA198" s="2" t="s">
        <v>116</v>
      </c>
    </row>
    <row r="199" spans="1:28" ht="28.8" x14ac:dyDescent="0.3">
      <c r="A199" s="2">
        <v>22</v>
      </c>
      <c r="B199" s="2" t="s">
        <v>218</v>
      </c>
      <c r="C199" s="2" t="s">
        <v>31</v>
      </c>
      <c r="D199" s="2"/>
      <c r="E199" s="2" t="s">
        <v>12</v>
      </c>
      <c r="F199" s="2">
        <v>20</v>
      </c>
      <c r="G199" s="2">
        <v>39</v>
      </c>
      <c r="H199" s="2">
        <f t="shared" si="26"/>
        <v>780</v>
      </c>
      <c r="I199" s="2">
        <f>17+2+2+2+2+2+2+1+2+1+2+1</f>
        <v>36</v>
      </c>
      <c r="J199" s="2">
        <v>340</v>
      </c>
      <c r="K199" s="2">
        <f t="shared" si="27"/>
        <v>720</v>
      </c>
      <c r="L199" s="2">
        <f t="shared" si="28"/>
        <v>380</v>
      </c>
      <c r="M199" s="2">
        <f t="shared" si="29"/>
        <v>60</v>
      </c>
      <c r="N199" s="2" t="s">
        <v>178</v>
      </c>
      <c r="O199" s="18">
        <v>3943290</v>
      </c>
      <c r="P199" s="2" t="s">
        <v>19</v>
      </c>
      <c r="Q199" s="2">
        <v>3</v>
      </c>
      <c r="R199" s="19">
        <v>45813</v>
      </c>
      <c r="S199" s="19">
        <v>47273</v>
      </c>
      <c r="T199" s="19">
        <v>45868</v>
      </c>
      <c r="U199" s="3">
        <f t="shared" si="23"/>
        <v>1405</v>
      </c>
      <c r="V199" s="3" t="str">
        <f t="shared" si="24"/>
        <v>Not Expired</v>
      </c>
      <c r="W199" s="3" t="str">
        <f t="shared" si="25"/>
        <v>Not Expire</v>
      </c>
      <c r="X199" s="3" t="s">
        <v>280</v>
      </c>
      <c r="Y199" s="3" t="str">
        <f>VLOOKUP(O199,[5]Working!$F:$Q,12,0)</f>
        <v>DFIPL Purchase</v>
      </c>
      <c r="Z199" s="2"/>
      <c r="AA199" s="2" t="s">
        <v>116</v>
      </c>
      <c r="AB199" s="31" t="s">
        <v>330</v>
      </c>
    </row>
    <row r="200" spans="1:28" ht="14.4" x14ac:dyDescent="0.3">
      <c r="A200" s="18">
        <v>149</v>
      </c>
      <c r="B200" s="2" t="s">
        <v>273</v>
      </c>
      <c r="C200" s="33" t="s">
        <v>33</v>
      </c>
      <c r="D200" s="33" t="s">
        <v>24</v>
      </c>
      <c r="E200" s="33" t="s">
        <v>12</v>
      </c>
      <c r="F200" s="18">
        <v>16.809999999999999</v>
      </c>
      <c r="G200" s="18">
        <v>11</v>
      </c>
      <c r="H200" s="18">
        <f t="shared" si="26"/>
        <v>184.91</v>
      </c>
      <c r="I200" s="18">
        <f>4+1+1+2+1+1+1</f>
        <v>11</v>
      </c>
      <c r="J200" s="18">
        <v>67.239999999999995</v>
      </c>
      <c r="K200" s="2">
        <f t="shared" si="27"/>
        <v>184.91</v>
      </c>
      <c r="L200" s="2">
        <f t="shared" si="28"/>
        <v>117.67</v>
      </c>
      <c r="M200" s="2">
        <f t="shared" si="29"/>
        <v>0</v>
      </c>
      <c r="N200" s="18" t="s">
        <v>178</v>
      </c>
      <c r="O200" s="18">
        <v>3945307</v>
      </c>
      <c r="P200" s="33" t="s">
        <v>26</v>
      </c>
      <c r="Q200" s="18">
        <v>1</v>
      </c>
      <c r="R200" s="40">
        <v>45817</v>
      </c>
      <c r="S200" s="40">
        <v>47277</v>
      </c>
      <c r="T200" s="19">
        <v>45868</v>
      </c>
      <c r="U200" s="42">
        <f t="shared" si="23"/>
        <v>1409</v>
      </c>
      <c r="V200" s="35" t="str">
        <f t="shared" si="24"/>
        <v>Not Expired</v>
      </c>
      <c r="W200" s="43" t="str">
        <f t="shared" si="25"/>
        <v>Not Expire</v>
      </c>
      <c r="X200" s="3" t="s">
        <v>280</v>
      </c>
      <c r="Y200" s="3" t="str">
        <f>VLOOKUP(O200,[5]Working!$F:$Q,12,0)</f>
        <v>DFIPL Purchase</v>
      </c>
      <c r="Z200" s="2"/>
      <c r="AA200" s="2" t="s">
        <v>116</v>
      </c>
      <c r="AB200" s="31" t="s">
        <v>323</v>
      </c>
    </row>
    <row r="201" spans="1:28" ht="14.4" x14ac:dyDescent="0.3">
      <c r="A201" s="2">
        <v>144</v>
      </c>
      <c r="B201" s="2" t="s">
        <v>258</v>
      </c>
      <c r="C201" s="2" t="s">
        <v>28</v>
      </c>
      <c r="D201" s="2" t="s">
        <v>24</v>
      </c>
      <c r="E201" s="2" t="s">
        <v>12</v>
      </c>
      <c r="F201" s="2">
        <v>16.7</v>
      </c>
      <c r="G201" s="2">
        <v>32</v>
      </c>
      <c r="H201" s="2">
        <f t="shared" si="26"/>
        <v>534.4</v>
      </c>
      <c r="I201" s="2">
        <f>2+2+3+2+3</f>
        <v>12</v>
      </c>
      <c r="J201" s="2">
        <v>0</v>
      </c>
      <c r="K201" s="2">
        <f t="shared" si="27"/>
        <v>200.39999999999998</v>
      </c>
      <c r="L201" s="2">
        <f t="shared" si="28"/>
        <v>200.39999999999998</v>
      </c>
      <c r="M201" s="2">
        <f t="shared" si="29"/>
        <v>334</v>
      </c>
      <c r="N201" s="2" t="s">
        <v>178</v>
      </c>
      <c r="O201" s="18">
        <v>3945414</v>
      </c>
      <c r="P201" s="2" t="s">
        <v>19</v>
      </c>
      <c r="Q201" s="2">
        <v>3</v>
      </c>
      <c r="R201" s="19">
        <v>45817</v>
      </c>
      <c r="S201" s="19">
        <v>47277</v>
      </c>
      <c r="T201" s="19">
        <v>45868</v>
      </c>
      <c r="U201" s="3">
        <f t="shared" si="23"/>
        <v>1409</v>
      </c>
      <c r="V201" s="3" t="str">
        <f t="shared" si="24"/>
        <v>Not Expired</v>
      </c>
      <c r="W201" s="3" t="str">
        <f t="shared" si="25"/>
        <v>Not Expire</v>
      </c>
      <c r="X201" s="3" t="s">
        <v>280</v>
      </c>
      <c r="Y201" s="3" t="str">
        <f>VLOOKUP(O201,[5]Working!$F:$Q,12,0)</f>
        <v>DFIPL Purchase</v>
      </c>
      <c r="Z201" s="2"/>
      <c r="AA201" s="2" t="s">
        <v>116</v>
      </c>
      <c r="AB201" t="s">
        <v>329</v>
      </c>
    </row>
    <row r="202" spans="1:28" ht="28.8" x14ac:dyDescent="0.3">
      <c r="A202" s="27">
        <v>74</v>
      </c>
      <c r="B202" s="2" t="s">
        <v>249</v>
      </c>
      <c r="C202" s="2" t="s">
        <v>27</v>
      </c>
      <c r="D202" s="12"/>
      <c r="E202" s="12" t="s">
        <v>12</v>
      </c>
      <c r="F202" s="2">
        <v>20</v>
      </c>
      <c r="G202" s="2">
        <v>20</v>
      </c>
      <c r="H202" s="2">
        <f t="shared" si="26"/>
        <v>400</v>
      </c>
      <c r="I202" s="2">
        <f>1+1+1+1+1+1+1+1+1+1+1+1</f>
        <v>12</v>
      </c>
      <c r="J202" s="2">
        <v>0</v>
      </c>
      <c r="K202" s="2">
        <f t="shared" si="27"/>
        <v>240</v>
      </c>
      <c r="L202" s="2">
        <f t="shared" si="28"/>
        <v>240</v>
      </c>
      <c r="M202" s="2">
        <f t="shared" si="29"/>
        <v>160</v>
      </c>
      <c r="N202" s="2" t="s">
        <v>178</v>
      </c>
      <c r="O202" s="18">
        <v>3956929</v>
      </c>
      <c r="P202" s="12" t="s">
        <v>26</v>
      </c>
      <c r="Q202" s="2">
        <v>1</v>
      </c>
      <c r="R202" s="19">
        <v>45827</v>
      </c>
      <c r="S202" s="19">
        <v>47287</v>
      </c>
      <c r="T202" s="19">
        <v>45868</v>
      </c>
      <c r="U202" s="3">
        <f t="shared" si="23"/>
        <v>1419</v>
      </c>
      <c r="V202" s="3" t="str">
        <f t="shared" si="24"/>
        <v>Not Expired</v>
      </c>
      <c r="W202" s="3" t="str">
        <f t="shared" si="25"/>
        <v>Not Expire</v>
      </c>
      <c r="X202" s="3" t="s">
        <v>280</v>
      </c>
      <c r="Y202" s="3" t="str">
        <f>VLOOKUP(O202,[5]Working!$F:$Q,12,0)</f>
        <v>DFIPL Purchase</v>
      </c>
      <c r="Z202" s="2"/>
      <c r="AA202" s="2" t="s">
        <v>116</v>
      </c>
      <c r="AB202" s="31" t="s">
        <v>331</v>
      </c>
    </row>
    <row r="203" spans="1:28" ht="14.4" x14ac:dyDescent="0.3">
      <c r="A203" s="27">
        <v>76</v>
      </c>
      <c r="B203" s="2" t="s">
        <v>218</v>
      </c>
      <c r="C203" s="2" t="s">
        <v>25</v>
      </c>
      <c r="D203" s="12"/>
      <c r="E203" s="12" t="s">
        <v>12</v>
      </c>
      <c r="F203" s="2">
        <v>20</v>
      </c>
      <c r="G203" s="2">
        <v>3</v>
      </c>
      <c r="H203" s="2">
        <f t="shared" si="26"/>
        <v>60</v>
      </c>
      <c r="I203" s="2">
        <f>1+2</f>
        <v>3</v>
      </c>
      <c r="J203" s="2">
        <v>0</v>
      </c>
      <c r="K203" s="2">
        <f t="shared" si="27"/>
        <v>60</v>
      </c>
      <c r="L203" s="2">
        <f t="shared" si="28"/>
        <v>60</v>
      </c>
      <c r="M203" s="2">
        <f t="shared" si="29"/>
        <v>0</v>
      </c>
      <c r="N203" s="2" t="s">
        <v>178</v>
      </c>
      <c r="O203" s="50">
        <v>3958435</v>
      </c>
      <c r="P203" s="12" t="s">
        <v>26</v>
      </c>
      <c r="Q203" s="2">
        <v>1</v>
      </c>
      <c r="R203" s="19">
        <v>45834</v>
      </c>
      <c r="S203" s="19">
        <v>47288</v>
      </c>
      <c r="T203" s="19">
        <v>45868</v>
      </c>
      <c r="U203" s="3">
        <f t="shared" si="23"/>
        <v>1420</v>
      </c>
      <c r="V203" s="3" t="str">
        <f t="shared" si="24"/>
        <v>Not Expired</v>
      </c>
      <c r="W203" s="3" t="str">
        <f t="shared" si="25"/>
        <v>Not Expire</v>
      </c>
      <c r="X203" s="3" t="s">
        <v>280</v>
      </c>
      <c r="Y203" s="3" t="str">
        <f>VLOOKUP(O203,[5]Working!$F:$Q,12,0)</f>
        <v>DFIPL Purchase</v>
      </c>
      <c r="Z203" s="2"/>
      <c r="AA203" s="2" t="s">
        <v>116</v>
      </c>
      <c r="AB203" t="s">
        <v>303</v>
      </c>
    </row>
    <row r="204" spans="1:28" ht="14.4" hidden="1" x14ac:dyDescent="0.3">
      <c r="A204" s="2">
        <v>78</v>
      </c>
      <c r="B204" s="2" t="s">
        <v>254</v>
      </c>
      <c r="C204" s="2" t="s">
        <v>42</v>
      </c>
      <c r="D204" s="2"/>
      <c r="E204" s="2" t="s">
        <v>12</v>
      </c>
      <c r="F204" s="2">
        <v>20</v>
      </c>
      <c r="G204" s="2">
        <v>1</v>
      </c>
      <c r="H204" s="2">
        <f t="shared" si="26"/>
        <v>20</v>
      </c>
      <c r="I204" s="27"/>
      <c r="J204" s="27">
        <v>0</v>
      </c>
      <c r="K204" s="2">
        <f t="shared" si="27"/>
        <v>0</v>
      </c>
      <c r="L204" s="2">
        <f t="shared" si="28"/>
        <v>0</v>
      </c>
      <c r="M204" s="2">
        <f t="shared" si="29"/>
        <v>20</v>
      </c>
      <c r="N204" s="2" t="s">
        <v>178</v>
      </c>
      <c r="O204" s="18">
        <v>74085284</v>
      </c>
      <c r="P204" s="2" t="s">
        <v>59</v>
      </c>
      <c r="Q204" s="2">
        <v>1</v>
      </c>
      <c r="R204" s="19">
        <v>45539</v>
      </c>
      <c r="S204" s="19">
        <v>47365</v>
      </c>
      <c r="T204" s="19">
        <v>45868</v>
      </c>
      <c r="U204" s="3">
        <f t="shared" si="23"/>
        <v>1497</v>
      </c>
      <c r="V204" s="3" t="str">
        <f t="shared" si="24"/>
        <v>Not Expired</v>
      </c>
      <c r="W204" s="3" t="str">
        <f t="shared" si="25"/>
        <v>Not Expire</v>
      </c>
      <c r="X204" s="3" t="s">
        <v>281</v>
      </c>
      <c r="Y204" s="3" t="e">
        <f>VLOOKUP(O204,[5]Working!$F:$Q,12,0)</f>
        <v>#N/A</v>
      </c>
      <c r="Z204" s="2"/>
      <c r="AA204" s="2" t="s">
        <v>116</v>
      </c>
    </row>
    <row r="205" spans="1:28" ht="18.600000000000001" customHeight="1" x14ac:dyDescent="0.3">
      <c r="A205" s="2">
        <v>47</v>
      </c>
      <c r="B205" s="2" t="s">
        <v>274</v>
      </c>
      <c r="C205" s="2" t="s">
        <v>42</v>
      </c>
      <c r="D205" s="2"/>
      <c r="E205" s="2" t="s">
        <v>12</v>
      </c>
      <c r="F205" s="2">
        <v>20</v>
      </c>
      <c r="G205" s="2">
        <f>3-2</f>
        <v>1</v>
      </c>
      <c r="H205" s="2">
        <f t="shared" si="26"/>
        <v>20</v>
      </c>
      <c r="I205" s="2"/>
      <c r="J205" s="2">
        <v>0</v>
      </c>
      <c r="K205" s="2">
        <f t="shared" si="27"/>
        <v>0</v>
      </c>
      <c r="L205" s="2">
        <f t="shared" si="28"/>
        <v>0</v>
      </c>
      <c r="M205" s="2">
        <f t="shared" si="29"/>
        <v>20</v>
      </c>
      <c r="N205" s="2" t="s">
        <v>178</v>
      </c>
      <c r="O205" s="18">
        <v>74105021</v>
      </c>
      <c r="P205" s="2" t="s">
        <v>15</v>
      </c>
      <c r="Q205" s="2">
        <v>3</v>
      </c>
      <c r="R205" s="19">
        <v>45568</v>
      </c>
      <c r="S205" s="19">
        <v>47394</v>
      </c>
      <c r="T205" s="19">
        <v>45868</v>
      </c>
      <c r="U205" s="3">
        <f t="shared" si="23"/>
        <v>1526</v>
      </c>
      <c r="V205" s="3" t="str">
        <f t="shared" si="24"/>
        <v>Not Expired</v>
      </c>
      <c r="W205" s="3" t="str">
        <f t="shared" si="25"/>
        <v>Not Expire</v>
      </c>
      <c r="X205" s="3" t="s">
        <v>280</v>
      </c>
      <c r="Y205" s="3" t="str">
        <f>VLOOKUP(O205,[5]Working!$F:$Q,12,0)</f>
        <v>DFIPL Purchase</v>
      </c>
      <c r="Z205" s="2"/>
      <c r="AA205" s="2" t="s">
        <v>116</v>
      </c>
      <c r="AB205" t="s">
        <v>143</v>
      </c>
    </row>
    <row r="206" spans="1:28" ht="18.600000000000001" hidden="1" customHeight="1" x14ac:dyDescent="0.3">
      <c r="A206" s="2">
        <v>85</v>
      </c>
      <c r="B206" s="2" t="s">
        <v>254</v>
      </c>
      <c r="C206" s="2" t="s">
        <v>69</v>
      </c>
      <c r="D206" s="2"/>
      <c r="E206" s="2" t="s">
        <v>12</v>
      </c>
      <c r="F206" s="2">
        <v>20</v>
      </c>
      <c r="G206" s="2">
        <v>23</v>
      </c>
      <c r="H206" s="2">
        <f t="shared" si="26"/>
        <v>460</v>
      </c>
      <c r="I206" s="27"/>
      <c r="J206" s="27">
        <v>0</v>
      </c>
      <c r="K206" s="2">
        <f t="shared" si="27"/>
        <v>0</v>
      </c>
      <c r="L206" s="2">
        <f t="shared" si="28"/>
        <v>0</v>
      </c>
      <c r="M206" s="2">
        <f t="shared" si="29"/>
        <v>460</v>
      </c>
      <c r="N206" s="2" t="s">
        <v>178</v>
      </c>
      <c r="O206" s="18">
        <v>74115020</v>
      </c>
      <c r="P206" s="2" t="s">
        <v>59</v>
      </c>
      <c r="Q206" s="2">
        <v>1</v>
      </c>
      <c r="R206" s="19">
        <v>45614</v>
      </c>
      <c r="S206" s="19">
        <v>47440</v>
      </c>
      <c r="T206" s="19">
        <v>45868</v>
      </c>
      <c r="U206" s="3">
        <f t="shared" si="23"/>
        <v>1572</v>
      </c>
      <c r="V206" s="3" t="str">
        <f t="shared" si="24"/>
        <v>Not Expired</v>
      </c>
      <c r="W206" s="3" t="str">
        <f t="shared" si="25"/>
        <v>Not Expire</v>
      </c>
      <c r="X206" s="3" t="s">
        <v>281</v>
      </c>
      <c r="Y206" s="3" t="e">
        <f>VLOOKUP(O206,[5]Working!$F:$Q,12,0)</f>
        <v>#N/A</v>
      </c>
      <c r="Z206" s="2"/>
      <c r="AA206" s="2" t="s">
        <v>116</v>
      </c>
    </row>
    <row r="207" spans="1:28" ht="18.600000000000001" hidden="1" customHeight="1" x14ac:dyDescent="0.3">
      <c r="A207" s="2">
        <v>81</v>
      </c>
      <c r="B207" s="2" t="s">
        <v>254</v>
      </c>
      <c r="C207" s="2" t="s">
        <v>42</v>
      </c>
      <c r="D207" s="2"/>
      <c r="E207" s="2" t="s">
        <v>12</v>
      </c>
      <c r="F207" s="2">
        <v>20</v>
      </c>
      <c r="G207" s="2">
        <v>21</v>
      </c>
      <c r="H207" s="2">
        <f t="shared" si="26"/>
        <v>420</v>
      </c>
      <c r="I207" s="27">
        <v>2</v>
      </c>
      <c r="J207" s="27">
        <v>0</v>
      </c>
      <c r="K207" s="2">
        <f t="shared" si="27"/>
        <v>40</v>
      </c>
      <c r="L207" s="2">
        <f t="shared" si="28"/>
        <v>40</v>
      </c>
      <c r="M207" s="2">
        <f t="shared" si="29"/>
        <v>380</v>
      </c>
      <c r="N207" s="2" t="s">
        <v>178</v>
      </c>
      <c r="O207" s="18">
        <v>74115109</v>
      </c>
      <c r="P207" s="2" t="s">
        <v>59</v>
      </c>
      <c r="Q207" s="2">
        <v>1</v>
      </c>
      <c r="R207" s="19">
        <v>45618</v>
      </c>
      <c r="S207" s="19">
        <v>47444</v>
      </c>
      <c r="T207" s="19">
        <v>45868</v>
      </c>
      <c r="U207" s="3">
        <f t="shared" si="23"/>
        <v>1576</v>
      </c>
      <c r="V207" s="3" t="str">
        <f t="shared" si="24"/>
        <v>Not Expired</v>
      </c>
      <c r="W207" s="3" t="str">
        <f t="shared" si="25"/>
        <v>Not Expire</v>
      </c>
      <c r="X207" s="3" t="s">
        <v>281</v>
      </c>
      <c r="Y207" s="3" t="e">
        <f>VLOOKUP(O207,[5]Working!$F:$Q,12,0)</f>
        <v>#N/A</v>
      </c>
      <c r="Z207" s="2"/>
      <c r="AA207" s="2" t="s">
        <v>116</v>
      </c>
      <c r="AB207" t="s">
        <v>298</v>
      </c>
    </row>
    <row r="208" spans="1:28" ht="18.600000000000001" hidden="1" customHeight="1" x14ac:dyDescent="0.3">
      <c r="A208" s="2">
        <v>132</v>
      </c>
      <c r="B208" s="2" t="s">
        <v>275</v>
      </c>
      <c r="C208" s="2" t="s">
        <v>84</v>
      </c>
      <c r="D208" s="2" t="s">
        <v>11</v>
      </c>
      <c r="E208" s="2" t="s">
        <v>12</v>
      </c>
      <c r="F208" s="2">
        <v>20</v>
      </c>
      <c r="G208" s="2">
        <v>4</v>
      </c>
      <c r="H208" s="2">
        <f t="shared" si="26"/>
        <v>80</v>
      </c>
      <c r="I208" s="27">
        <v>1</v>
      </c>
      <c r="J208" s="27">
        <v>0</v>
      </c>
      <c r="K208" s="2">
        <f t="shared" si="27"/>
        <v>20</v>
      </c>
      <c r="L208" s="2">
        <f t="shared" si="28"/>
        <v>20</v>
      </c>
      <c r="M208" s="2">
        <f t="shared" si="29"/>
        <v>60</v>
      </c>
      <c r="N208" s="2" t="s">
        <v>178</v>
      </c>
      <c r="O208" s="18">
        <v>75035374</v>
      </c>
      <c r="P208" s="2" t="s">
        <v>59</v>
      </c>
      <c r="Q208" s="2">
        <v>1</v>
      </c>
      <c r="R208" s="19">
        <v>45757</v>
      </c>
      <c r="S208" s="19">
        <v>47583</v>
      </c>
      <c r="T208" s="19">
        <v>45868</v>
      </c>
      <c r="U208" s="3">
        <f t="shared" si="23"/>
        <v>1715</v>
      </c>
      <c r="V208" s="3" t="str">
        <f t="shared" si="24"/>
        <v>Not Expired</v>
      </c>
      <c r="W208" s="3" t="str">
        <f t="shared" si="25"/>
        <v>Not Expire</v>
      </c>
      <c r="X208" s="3" t="s">
        <v>281</v>
      </c>
      <c r="Y208" s="3" t="e">
        <f>VLOOKUP(O208,[5]Working!$F:$Q,12,0)</f>
        <v>#N/A</v>
      </c>
      <c r="Z208" s="2" t="s">
        <v>106</v>
      </c>
      <c r="AA208" s="2" t="s">
        <v>119</v>
      </c>
      <c r="AB208" t="s">
        <v>301</v>
      </c>
    </row>
    <row r="209" spans="1:28" ht="18.600000000000001" hidden="1" customHeight="1" x14ac:dyDescent="0.3">
      <c r="A209" s="2">
        <v>133</v>
      </c>
      <c r="B209" s="2" t="s">
        <v>254</v>
      </c>
      <c r="C209" s="2" t="s">
        <v>69</v>
      </c>
      <c r="D209" s="2"/>
      <c r="E209" s="2" t="s">
        <v>12</v>
      </c>
      <c r="F209" s="2">
        <v>20</v>
      </c>
      <c r="G209" s="2">
        <v>26</v>
      </c>
      <c r="H209" s="2">
        <f t="shared" si="26"/>
        <v>520</v>
      </c>
      <c r="I209" s="27"/>
      <c r="J209" s="27">
        <v>0</v>
      </c>
      <c r="K209" s="2">
        <f t="shared" si="27"/>
        <v>0</v>
      </c>
      <c r="L209" s="2">
        <f t="shared" si="28"/>
        <v>0</v>
      </c>
      <c r="M209" s="2">
        <f t="shared" si="29"/>
        <v>520</v>
      </c>
      <c r="N209" s="2" t="s">
        <v>178</v>
      </c>
      <c r="O209" s="18">
        <v>75045038</v>
      </c>
      <c r="P209" s="2" t="s">
        <v>59</v>
      </c>
      <c r="Q209" s="2">
        <v>1</v>
      </c>
      <c r="R209" s="19">
        <v>45761</v>
      </c>
      <c r="S209" s="19">
        <v>47587</v>
      </c>
      <c r="T209" s="19">
        <v>45868</v>
      </c>
      <c r="U209" s="3">
        <f t="shared" si="23"/>
        <v>1719</v>
      </c>
      <c r="V209" s="3" t="str">
        <f t="shared" si="24"/>
        <v>Not Expired</v>
      </c>
      <c r="W209" s="3" t="str">
        <f t="shared" si="25"/>
        <v>Not Expire</v>
      </c>
      <c r="X209" s="3" t="s">
        <v>281</v>
      </c>
      <c r="Y209" s="3" t="e">
        <f>VLOOKUP(O209,[5]Working!$F:$Q,12,0)</f>
        <v>#N/A</v>
      </c>
      <c r="Z209" s="2" t="s">
        <v>106</v>
      </c>
      <c r="AA209" s="2" t="s">
        <v>119</v>
      </c>
    </row>
    <row r="210" spans="1:28" ht="18.600000000000001" hidden="1" customHeight="1" x14ac:dyDescent="0.3">
      <c r="A210" s="2">
        <v>79</v>
      </c>
      <c r="B210" s="2" t="s">
        <v>275</v>
      </c>
      <c r="C210" s="2" t="s">
        <v>64</v>
      </c>
      <c r="D210" s="2"/>
      <c r="E210" s="2" t="s">
        <v>12</v>
      </c>
      <c r="F210" s="2">
        <v>20</v>
      </c>
      <c r="G210" s="2">
        <v>16</v>
      </c>
      <c r="H210" s="2">
        <f t="shared" si="26"/>
        <v>320</v>
      </c>
      <c r="I210" s="2"/>
      <c r="J210" s="2">
        <v>0</v>
      </c>
      <c r="K210" s="2">
        <f t="shared" si="27"/>
        <v>0</v>
      </c>
      <c r="L210" s="2">
        <f t="shared" si="28"/>
        <v>0</v>
      </c>
      <c r="M210" s="2">
        <f t="shared" si="29"/>
        <v>320</v>
      </c>
      <c r="N210" s="2" t="s">
        <v>178</v>
      </c>
      <c r="O210" s="18">
        <v>75045474</v>
      </c>
      <c r="P210" s="2" t="s">
        <v>15</v>
      </c>
      <c r="Q210" s="2">
        <v>3</v>
      </c>
      <c r="R210" s="19">
        <v>45776</v>
      </c>
      <c r="S210" s="19">
        <v>47602</v>
      </c>
      <c r="T210" s="19">
        <v>45868</v>
      </c>
      <c r="U210" s="3">
        <f t="shared" si="23"/>
        <v>1734</v>
      </c>
      <c r="V210" s="3" t="str">
        <f t="shared" si="24"/>
        <v>Not Expired</v>
      </c>
      <c r="W210" s="3" t="str">
        <f t="shared" si="25"/>
        <v>Not Expire</v>
      </c>
      <c r="X210" s="3" t="s">
        <v>281</v>
      </c>
      <c r="Y210" s="3" t="e">
        <f>VLOOKUP(O210,[5]Working!$F:$Q,12,0)</f>
        <v>#N/A</v>
      </c>
      <c r="Z210" s="2" t="s">
        <v>106</v>
      </c>
      <c r="AA210" s="2" t="s">
        <v>118</v>
      </c>
      <c r="AB210" t="s">
        <v>164</v>
      </c>
    </row>
    <row r="211" spans="1:28" ht="18.600000000000001" customHeight="1" x14ac:dyDescent="0.3">
      <c r="A211" s="2"/>
      <c r="B211" s="2" t="s">
        <v>274</v>
      </c>
      <c r="C211" s="2" t="s">
        <v>69</v>
      </c>
      <c r="D211" s="2"/>
      <c r="E211" s="2" t="s">
        <v>12</v>
      </c>
      <c r="F211" s="2">
        <v>20</v>
      </c>
      <c r="G211" s="2">
        <v>5</v>
      </c>
      <c r="H211" s="2">
        <f t="shared" si="26"/>
        <v>100</v>
      </c>
      <c r="I211" s="2"/>
      <c r="J211" s="2">
        <v>0</v>
      </c>
      <c r="K211" s="2">
        <f t="shared" si="27"/>
        <v>0</v>
      </c>
      <c r="L211" s="2">
        <f t="shared" si="28"/>
        <v>0</v>
      </c>
      <c r="M211" s="2">
        <f t="shared" si="29"/>
        <v>100</v>
      </c>
      <c r="N211" s="2" t="s">
        <v>178</v>
      </c>
      <c r="O211" s="18">
        <v>75065061</v>
      </c>
      <c r="P211" s="2" t="s">
        <v>15</v>
      </c>
      <c r="Q211" s="2">
        <v>3</v>
      </c>
      <c r="R211" s="19">
        <v>45811</v>
      </c>
      <c r="S211" s="19">
        <v>47637</v>
      </c>
      <c r="T211" s="19">
        <v>45868</v>
      </c>
      <c r="U211" s="3">
        <f t="shared" si="23"/>
        <v>1769</v>
      </c>
      <c r="V211" s="3" t="str">
        <f t="shared" si="24"/>
        <v>Not Expired</v>
      </c>
      <c r="W211" s="3" t="str">
        <f t="shared" si="25"/>
        <v>Not Expire</v>
      </c>
      <c r="X211" s="3" t="s">
        <v>280</v>
      </c>
      <c r="Y211" s="3" t="str">
        <f>VLOOKUP(O211,[5]Working!$F:$Q,12,0)</f>
        <v>DFIPL Purchase</v>
      </c>
      <c r="Z211" s="2"/>
      <c r="AA211" s="2"/>
    </row>
    <row r="212" spans="1:28" ht="18.600000000000001" customHeight="1" x14ac:dyDescent="0.3">
      <c r="A212" s="2"/>
      <c r="B212" s="2" t="s">
        <v>276</v>
      </c>
      <c r="C212" s="2" t="s">
        <v>84</v>
      </c>
      <c r="D212" s="2"/>
      <c r="E212" s="2" t="s">
        <v>12</v>
      </c>
      <c r="F212" s="2">
        <v>20</v>
      </c>
      <c r="G212" s="2">
        <f>5-1</f>
        <v>4</v>
      </c>
      <c r="H212" s="2">
        <f t="shared" si="26"/>
        <v>80</v>
      </c>
      <c r="I212" s="2"/>
      <c r="J212" s="2">
        <v>0</v>
      </c>
      <c r="K212" s="2">
        <f t="shared" si="27"/>
        <v>0</v>
      </c>
      <c r="L212" s="2">
        <f t="shared" si="28"/>
        <v>0</v>
      </c>
      <c r="M212" s="2">
        <f t="shared" si="29"/>
        <v>80</v>
      </c>
      <c r="N212" s="2" t="s">
        <v>178</v>
      </c>
      <c r="O212" s="18">
        <v>75065063</v>
      </c>
      <c r="P212" s="2" t="s">
        <v>15</v>
      </c>
      <c r="Q212" s="2">
        <v>3</v>
      </c>
      <c r="R212" s="19">
        <v>45813</v>
      </c>
      <c r="S212" s="19">
        <v>47639</v>
      </c>
      <c r="T212" s="19">
        <v>45868</v>
      </c>
      <c r="U212" s="3">
        <f t="shared" si="23"/>
        <v>1771</v>
      </c>
      <c r="V212" s="3" t="str">
        <f t="shared" si="24"/>
        <v>Not Expired</v>
      </c>
      <c r="W212" s="3" t="str">
        <f t="shared" si="25"/>
        <v>Not Expire</v>
      </c>
      <c r="X212" s="3" t="s">
        <v>280</v>
      </c>
      <c r="Y212" s="3" t="str">
        <f>VLOOKUP(O212,[5]Working!$F:$Q,12,0)</f>
        <v>DFIPL Purchase</v>
      </c>
      <c r="Z212" s="2"/>
      <c r="AA212" s="2"/>
      <c r="AB212" t="s">
        <v>149</v>
      </c>
    </row>
    <row r="213" spans="1:28" ht="18.600000000000001" customHeight="1" x14ac:dyDescent="0.3">
      <c r="A213" s="2"/>
      <c r="B213" s="2" t="s">
        <v>277</v>
      </c>
      <c r="C213" s="2" t="s">
        <v>146</v>
      </c>
      <c r="D213" s="2" t="s">
        <v>147</v>
      </c>
      <c r="E213" s="2" t="s">
        <v>12</v>
      </c>
      <c r="F213" s="2">
        <v>17.5</v>
      </c>
      <c r="G213" s="2">
        <f>2-1</f>
        <v>1</v>
      </c>
      <c r="H213" s="2">
        <f t="shared" si="26"/>
        <v>17.5</v>
      </c>
      <c r="I213" s="2"/>
      <c r="J213" s="2">
        <v>0</v>
      </c>
      <c r="K213" s="2">
        <f t="shared" si="27"/>
        <v>0</v>
      </c>
      <c r="L213" s="2">
        <f t="shared" si="28"/>
        <v>0</v>
      </c>
      <c r="M213" s="2">
        <f t="shared" si="29"/>
        <v>17.5</v>
      </c>
      <c r="N213" s="2" t="s">
        <v>178</v>
      </c>
      <c r="O213" s="18">
        <v>75045329</v>
      </c>
      <c r="P213" s="2" t="s">
        <v>15</v>
      </c>
      <c r="Q213" s="2">
        <v>3</v>
      </c>
      <c r="R213" s="19">
        <v>45768</v>
      </c>
      <c r="S213" s="19">
        <v>46498</v>
      </c>
      <c r="T213" s="19">
        <v>45868</v>
      </c>
      <c r="U213" s="3">
        <f t="shared" si="23"/>
        <v>630</v>
      </c>
      <c r="V213" s="3" t="str">
        <f t="shared" si="24"/>
        <v>Not Expired</v>
      </c>
      <c r="W213" s="3" t="str">
        <f t="shared" si="25"/>
        <v>Not Expire</v>
      </c>
      <c r="X213" s="3" t="s">
        <v>280</v>
      </c>
      <c r="Y213" s="3" t="str">
        <f>VLOOKUP(O213,[5]Working!$F:$Q,12,0)</f>
        <v>DFIPL Purchase</v>
      </c>
      <c r="Z213" s="2"/>
      <c r="AA213" s="2"/>
      <c r="AB213" t="s">
        <v>149</v>
      </c>
    </row>
    <row r="214" spans="1:28" ht="18.600000000000001" customHeight="1" x14ac:dyDescent="0.3">
      <c r="A214" s="2"/>
      <c r="B214" s="2" t="s">
        <v>278</v>
      </c>
      <c r="C214" s="2" t="s">
        <v>145</v>
      </c>
      <c r="D214" s="2" t="s">
        <v>11</v>
      </c>
      <c r="E214" s="2" t="s">
        <v>12</v>
      </c>
      <c r="F214" s="2">
        <v>2.5</v>
      </c>
      <c r="G214" s="2">
        <f>2-1</f>
        <v>1</v>
      </c>
      <c r="H214" s="2">
        <f t="shared" si="26"/>
        <v>2.5</v>
      </c>
      <c r="I214" s="2"/>
      <c r="J214" s="2">
        <v>0</v>
      </c>
      <c r="K214" s="2">
        <f t="shared" si="27"/>
        <v>0</v>
      </c>
      <c r="L214" s="2">
        <f t="shared" si="28"/>
        <v>0</v>
      </c>
      <c r="M214" s="2">
        <f t="shared" si="29"/>
        <v>2.5</v>
      </c>
      <c r="N214" s="2" t="s">
        <v>178</v>
      </c>
      <c r="O214" s="18">
        <v>75045249</v>
      </c>
      <c r="P214" s="2" t="s">
        <v>15</v>
      </c>
      <c r="Q214" s="2">
        <v>3</v>
      </c>
      <c r="R214" s="19">
        <v>45779</v>
      </c>
      <c r="S214" s="19">
        <v>46267</v>
      </c>
      <c r="T214" s="19">
        <v>45868</v>
      </c>
      <c r="U214" s="3">
        <f t="shared" si="23"/>
        <v>399</v>
      </c>
      <c r="V214" s="3" t="str">
        <f t="shared" si="24"/>
        <v>Not Expired</v>
      </c>
      <c r="W214" s="3" t="str">
        <f t="shared" si="25"/>
        <v>Not Expire</v>
      </c>
      <c r="X214" s="3" t="s">
        <v>280</v>
      </c>
      <c r="Y214" s="3" t="str">
        <f>VLOOKUP(O214,[5]Working!$F:$Q,12,0)</f>
        <v>DFIPL Purchase</v>
      </c>
      <c r="Z214" s="2"/>
      <c r="AA214" s="2"/>
      <c r="AB214" t="s">
        <v>149</v>
      </c>
    </row>
    <row r="215" spans="1:28" ht="18.600000000000001" customHeight="1" x14ac:dyDescent="0.3">
      <c r="A215" s="2"/>
      <c r="B215" s="2" t="s">
        <v>175</v>
      </c>
      <c r="C215" s="2" t="s">
        <v>92</v>
      </c>
      <c r="D215" s="2" t="s">
        <v>24</v>
      </c>
      <c r="E215" s="2" t="s">
        <v>12</v>
      </c>
      <c r="F215" s="2">
        <v>9</v>
      </c>
      <c r="G215" s="2">
        <v>1</v>
      </c>
      <c r="H215" s="2">
        <f t="shared" si="26"/>
        <v>9</v>
      </c>
      <c r="I215" s="2">
        <v>1</v>
      </c>
      <c r="J215" s="2">
        <v>9</v>
      </c>
      <c r="K215" s="2">
        <f t="shared" si="27"/>
        <v>9</v>
      </c>
      <c r="L215" s="2">
        <f t="shared" si="28"/>
        <v>0</v>
      </c>
      <c r="M215" s="2">
        <f t="shared" si="29"/>
        <v>0</v>
      </c>
      <c r="N215" s="2" t="s">
        <v>178</v>
      </c>
      <c r="O215" s="18">
        <v>3802586</v>
      </c>
      <c r="P215" s="2" t="s">
        <v>139</v>
      </c>
      <c r="Q215" s="2">
        <v>4</v>
      </c>
      <c r="R215" s="19">
        <v>45675</v>
      </c>
      <c r="S215" s="19">
        <v>46040</v>
      </c>
      <c r="T215" s="19">
        <v>45868</v>
      </c>
      <c r="U215" s="3">
        <f t="shared" si="23"/>
        <v>172</v>
      </c>
      <c r="V215" s="3" t="str">
        <f t="shared" ref="V215:V217" si="30">IF(U215&lt;0,"Expired","Not Expired")</f>
        <v>Not Expired</v>
      </c>
      <c r="W215" s="3" t="str">
        <f t="shared" ref="W215:W217" si="31">IF(U215&lt;-45,"Expired more than 45 Days",IF(U215&lt;0,"Recently Expired within 45 Days ago",IF(U215&lt;=45,"Will be Expire within 45 Days","Not Expire")))</f>
        <v>Not Expire</v>
      </c>
      <c r="X215" s="3" t="s">
        <v>280</v>
      </c>
      <c r="Y215" s="3" t="str">
        <f>VLOOKUP(O215,[5]Working!$F:$Q,12,0)</f>
        <v>DFIPL Purchase</v>
      </c>
      <c r="Z215" s="2"/>
      <c r="AA215" s="2"/>
      <c r="AB215" t="s">
        <v>168</v>
      </c>
    </row>
    <row r="216" spans="1:28" s="24" customFormat="1" ht="18.600000000000001" customHeight="1" x14ac:dyDescent="0.3">
      <c r="A216" s="21"/>
      <c r="B216" s="2" t="s">
        <v>335</v>
      </c>
      <c r="C216" s="21" t="s">
        <v>154</v>
      </c>
      <c r="D216" s="21" t="s">
        <v>24</v>
      </c>
      <c r="E216" s="21" t="s">
        <v>12</v>
      </c>
      <c r="F216" s="21">
        <v>17.5</v>
      </c>
      <c r="G216" s="21">
        <v>12</v>
      </c>
      <c r="H216" s="21">
        <f t="shared" si="26"/>
        <v>210</v>
      </c>
      <c r="I216" s="21"/>
      <c r="J216" s="21">
        <v>0</v>
      </c>
      <c r="K216" s="2">
        <f t="shared" si="27"/>
        <v>0</v>
      </c>
      <c r="L216" s="2">
        <f t="shared" si="28"/>
        <v>0</v>
      </c>
      <c r="M216" s="2">
        <f t="shared" si="29"/>
        <v>210</v>
      </c>
      <c r="N216" s="21" t="s">
        <v>205</v>
      </c>
      <c r="O216" s="22">
        <v>605040253</v>
      </c>
      <c r="P216" s="21" t="s">
        <v>15</v>
      </c>
      <c r="Q216" s="21">
        <v>3</v>
      </c>
      <c r="R216" s="23">
        <v>45770</v>
      </c>
      <c r="S216" s="23">
        <v>46500</v>
      </c>
      <c r="T216" s="19">
        <v>45868</v>
      </c>
      <c r="U216" s="45">
        <f t="shared" si="23"/>
        <v>632</v>
      </c>
      <c r="V216" s="45" t="str">
        <f t="shared" si="30"/>
        <v>Not Expired</v>
      </c>
      <c r="W216" s="45" t="str">
        <f t="shared" si="31"/>
        <v>Not Expire</v>
      </c>
      <c r="X216" s="3" t="e">
        <v>#N/A</v>
      </c>
      <c r="Y216" s="3" t="e">
        <f>VLOOKUP(O216,[5]Working!$F:$Q,12,0)</f>
        <v>#N/A</v>
      </c>
      <c r="Z216" s="21"/>
      <c r="AA216" s="21"/>
    </row>
    <row r="217" spans="1:28" s="24" customFormat="1" ht="18.600000000000001" customHeight="1" x14ac:dyDescent="0.3">
      <c r="A217" s="21"/>
      <c r="B217" t="s">
        <v>334</v>
      </c>
      <c r="C217" s="21" t="s">
        <v>145</v>
      </c>
      <c r="D217" s="21" t="s">
        <v>11</v>
      </c>
      <c r="E217" s="21" t="s">
        <v>12</v>
      </c>
      <c r="F217" s="21">
        <v>2.5</v>
      </c>
      <c r="G217" s="21">
        <v>12</v>
      </c>
      <c r="H217" s="21">
        <f t="shared" si="26"/>
        <v>30</v>
      </c>
      <c r="I217" s="21"/>
      <c r="J217" s="21">
        <v>0</v>
      </c>
      <c r="K217" s="2">
        <f t="shared" si="27"/>
        <v>0</v>
      </c>
      <c r="L217" s="2">
        <f t="shared" si="28"/>
        <v>0</v>
      </c>
      <c r="M217" s="2">
        <f t="shared" si="29"/>
        <v>30</v>
      </c>
      <c r="N217" s="21" t="s">
        <v>205</v>
      </c>
      <c r="O217" s="22">
        <v>75055100</v>
      </c>
      <c r="P217" s="21" t="s">
        <v>15</v>
      </c>
      <c r="Q217" s="21">
        <v>3</v>
      </c>
      <c r="R217" s="23">
        <v>45789</v>
      </c>
      <c r="S217" s="23">
        <v>46277</v>
      </c>
      <c r="T217" s="19">
        <v>45868</v>
      </c>
      <c r="U217" s="45">
        <f t="shared" si="23"/>
        <v>409</v>
      </c>
      <c r="V217" s="45" t="str">
        <f t="shared" si="30"/>
        <v>Not Expired</v>
      </c>
      <c r="W217" s="45" t="str">
        <f t="shared" si="31"/>
        <v>Not Expire</v>
      </c>
      <c r="X217" s="3" t="e">
        <v>#N/A</v>
      </c>
      <c r="Y217" s="3" t="e">
        <f>VLOOKUP(O217,[5]Working!$F:$Q,12,0)</f>
        <v>#N/A</v>
      </c>
      <c r="Z217" s="21"/>
      <c r="AA217" s="21"/>
    </row>
    <row r="218" spans="1:28" ht="18.600000000000001" hidden="1" customHeight="1" x14ac:dyDescent="0.3">
      <c r="A218" s="27"/>
      <c r="B218" s="2" t="s">
        <v>279</v>
      </c>
      <c r="C218" s="12" t="s">
        <v>70</v>
      </c>
      <c r="D218" s="12" t="s">
        <v>24</v>
      </c>
      <c r="E218" s="12" t="s">
        <v>12</v>
      </c>
      <c r="F218" s="27">
        <v>8.5</v>
      </c>
      <c r="G218" s="2">
        <v>12</v>
      </c>
      <c r="H218" s="27">
        <f t="shared" si="26"/>
        <v>102</v>
      </c>
      <c r="I218" s="27"/>
      <c r="J218" s="27">
        <v>0</v>
      </c>
      <c r="K218" s="2">
        <f t="shared" si="27"/>
        <v>0</v>
      </c>
      <c r="L218" s="2">
        <f t="shared" si="28"/>
        <v>0</v>
      </c>
      <c r="M218" s="2">
        <f t="shared" si="29"/>
        <v>102</v>
      </c>
      <c r="N218" s="27" t="s">
        <v>178</v>
      </c>
      <c r="O218" s="18">
        <v>605010289</v>
      </c>
      <c r="P218" s="12" t="s">
        <v>59</v>
      </c>
      <c r="Q218" s="27">
        <v>1</v>
      </c>
      <c r="R218" s="19">
        <v>45673</v>
      </c>
      <c r="S218" s="19">
        <v>46038</v>
      </c>
      <c r="T218" s="19">
        <v>45868</v>
      </c>
      <c r="U218" s="45">
        <f t="shared" ref="U218:U228" si="32">S218-T218</f>
        <v>170</v>
      </c>
      <c r="V218" s="45" t="str">
        <f t="shared" ref="V218:V228" si="33">IF(U218&lt;0,"Expired","Not Expired")</f>
        <v>Not Expired</v>
      </c>
      <c r="W218" s="45" t="str">
        <f t="shared" ref="W218:W228" si="34">IF(U218&lt;-45,"Expired more than 45 Days",IF(U218&lt;0,"Recently Expired within 45 Days ago",IF(U218&lt;=45,"Will be Expire within 45 Days","Not Expire")))</f>
        <v>Not Expire</v>
      </c>
      <c r="X218" s="3" t="s">
        <v>281</v>
      </c>
      <c r="Y218" s="3" t="e">
        <f>VLOOKUP(O218,[5]Working!$F:$Q,12,0)</f>
        <v>#N/A</v>
      </c>
      <c r="Z218" s="2"/>
      <c r="AA218" s="2"/>
      <c r="AB218" t="s">
        <v>162</v>
      </c>
    </row>
    <row r="219" spans="1:28" ht="18.600000000000001" customHeight="1" x14ac:dyDescent="0.3">
      <c r="A219" s="2"/>
      <c r="B219" s="2" t="s">
        <v>182</v>
      </c>
      <c r="C219" s="13" t="s">
        <v>180</v>
      </c>
      <c r="D219" s="2" t="s">
        <v>11</v>
      </c>
      <c r="E219" s="2" t="s">
        <v>12</v>
      </c>
      <c r="F219" s="2">
        <v>1.8</v>
      </c>
      <c r="G219" s="2">
        <v>1</v>
      </c>
      <c r="H219" s="2">
        <v>1.8</v>
      </c>
      <c r="I219" s="2"/>
      <c r="J219" s="2">
        <v>0</v>
      </c>
      <c r="K219" s="2">
        <f t="shared" si="27"/>
        <v>0</v>
      </c>
      <c r="L219" s="2">
        <f t="shared" si="28"/>
        <v>0</v>
      </c>
      <c r="M219" s="2">
        <f t="shared" si="29"/>
        <v>1.8</v>
      </c>
      <c r="N219" s="2" t="s">
        <v>177</v>
      </c>
      <c r="O219" s="13">
        <v>3019219</v>
      </c>
      <c r="P219" s="2" t="s">
        <v>15</v>
      </c>
      <c r="Q219" s="2">
        <v>4</v>
      </c>
      <c r="R219" s="19">
        <v>44923</v>
      </c>
      <c r="S219" s="19">
        <v>46383</v>
      </c>
      <c r="T219" s="19">
        <v>45868</v>
      </c>
      <c r="U219" s="45">
        <f t="shared" si="32"/>
        <v>515</v>
      </c>
      <c r="V219" s="45" t="str">
        <f t="shared" si="33"/>
        <v>Not Expired</v>
      </c>
      <c r="W219" s="45" t="str">
        <f t="shared" si="34"/>
        <v>Not Expire</v>
      </c>
      <c r="X219" s="3" t="s">
        <v>280</v>
      </c>
      <c r="Y219" s="3" t="str">
        <f>VLOOKUP(O219,[5]Working!$F:$Q,12,0)</f>
        <v>DFIPL Purchase</v>
      </c>
      <c r="Z219" s="2"/>
      <c r="AA219" s="2"/>
    </row>
    <row r="220" spans="1:28" ht="18.600000000000001" customHeight="1" x14ac:dyDescent="0.3">
      <c r="A220" s="2"/>
      <c r="B220" s="2" t="s">
        <v>184</v>
      </c>
      <c r="C220" s="2" t="s">
        <v>39</v>
      </c>
      <c r="D220" s="2" t="s">
        <v>11</v>
      </c>
      <c r="E220" s="2" t="s">
        <v>12</v>
      </c>
      <c r="F220" s="2">
        <v>1.8</v>
      </c>
      <c r="G220" s="2">
        <v>2</v>
      </c>
      <c r="H220" s="2">
        <f t="shared" ref="H220:H228" si="35">F220*G220</f>
        <v>3.6</v>
      </c>
      <c r="I220" s="2"/>
      <c r="J220" s="2">
        <v>0</v>
      </c>
      <c r="K220" s="2">
        <f t="shared" si="27"/>
        <v>0</v>
      </c>
      <c r="L220" s="2">
        <f t="shared" si="28"/>
        <v>0</v>
      </c>
      <c r="M220" s="2">
        <f t="shared" si="29"/>
        <v>3.6</v>
      </c>
      <c r="N220" s="2" t="s">
        <v>178</v>
      </c>
      <c r="O220" s="18">
        <v>3593644</v>
      </c>
      <c r="P220" s="2" t="s">
        <v>15</v>
      </c>
      <c r="Q220" s="2">
        <v>4</v>
      </c>
      <c r="R220" s="19">
        <v>45502</v>
      </c>
      <c r="S220" s="19">
        <v>46231</v>
      </c>
      <c r="T220" s="19">
        <v>45868</v>
      </c>
      <c r="U220" s="45">
        <f t="shared" si="32"/>
        <v>363</v>
      </c>
      <c r="V220" s="45" t="str">
        <f t="shared" si="33"/>
        <v>Not Expired</v>
      </c>
      <c r="W220" s="45" t="str">
        <f t="shared" si="34"/>
        <v>Not Expire</v>
      </c>
      <c r="X220" s="3" t="s">
        <v>280</v>
      </c>
      <c r="Y220" s="3" t="str">
        <f>VLOOKUP(O220,[5]Working!$F:$Q,12,0)</f>
        <v>DFIPL Purchase</v>
      </c>
      <c r="Z220" s="2"/>
      <c r="AA220" s="2"/>
    </row>
    <row r="221" spans="1:28" ht="18.600000000000001" customHeight="1" x14ac:dyDescent="0.3">
      <c r="A221" s="2"/>
      <c r="B221" s="2" t="s">
        <v>183</v>
      </c>
      <c r="C221" s="13" t="s">
        <v>187</v>
      </c>
      <c r="D221" s="2" t="s">
        <v>24</v>
      </c>
      <c r="E221" s="2" t="s">
        <v>12</v>
      </c>
      <c r="F221" s="2">
        <v>16</v>
      </c>
      <c r="G221" s="2">
        <v>1</v>
      </c>
      <c r="H221" s="2">
        <f t="shared" si="35"/>
        <v>16</v>
      </c>
      <c r="I221" s="2"/>
      <c r="J221" s="2">
        <v>0</v>
      </c>
      <c r="K221" s="2">
        <f t="shared" si="27"/>
        <v>0</v>
      </c>
      <c r="L221" s="2">
        <f t="shared" si="28"/>
        <v>0</v>
      </c>
      <c r="M221" s="2">
        <f t="shared" si="29"/>
        <v>16</v>
      </c>
      <c r="N221" s="2" t="s">
        <v>178</v>
      </c>
      <c r="O221" s="18">
        <v>3791457</v>
      </c>
      <c r="P221" s="2" t="s">
        <v>89</v>
      </c>
      <c r="Q221" s="2">
        <v>2</v>
      </c>
      <c r="R221" s="19">
        <v>45666</v>
      </c>
      <c r="S221" s="19">
        <v>47126</v>
      </c>
      <c r="T221" s="19">
        <v>45868</v>
      </c>
      <c r="U221" s="45">
        <f t="shared" si="32"/>
        <v>1258</v>
      </c>
      <c r="V221" s="45" t="str">
        <f t="shared" si="33"/>
        <v>Not Expired</v>
      </c>
      <c r="W221" s="45" t="str">
        <f t="shared" si="34"/>
        <v>Not Expire</v>
      </c>
      <c r="X221" s="3" t="s">
        <v>280</v>
      </c>
      <c r="Y221" s="3" t="str">
        <f>VLOOKUP(O221,[5]Working!$F:$Q,12,0)</f>
        <v>DFIPL Purchase</v>
      </c>
    </row>
    <row r="222" spans="1:28" ht="18.600000000000001" customHeight="1" x14ac:dyDescent="0.3">
      <c r="A222" s="27"/>
      <c r="B222" s="2" t="s">
        <v>188</v>
      </c>
      <c r="C222" s="13" t="s">
        <v>189</v>
      </c>
      <c r="D222" s="2" t="s">
        <v>11</v>
      </c>
      <c r="E222" s="2" t="s">
        <v>12</v>
      </c>
      <c r="F222" s="2">
        <v>1.25</v>
      </c>
      <c r="G222" s="2">
        <v>19</v>
      </c>
      <c r="H222" s="2">
        <f t="shared" si="35"/>
        <v>23.75</v>
      </c>
      <c r="I222" s="2"/>
      <c r="J222" s="2">
        <v>0</v>
      </c>
      <c r="K222" s="2">
        <f t="shared" si="27"/>
        <v>0</v>
      </c>
      <c r="L222" s="2">
        <f t="shared" si="28"/>
        <v>0</v>
      </c>
      <c r="M222" s="2">
        <f t="shared" si="29"/>
        <v>23.75</v>
      </c>
      <c r="N222" s="2" t="s">
        <v>178</v>
      </c>
      <c r="O222" s="18">
        <v>3794316</v>
      </c>
      <c r="P222" s="13" t="s">
        <v>19</v>
      </c>
      <c r="Q222" s="2">
        <v>3</v>
      </c>
      <c r="R222" s="19">
        <v>45668</v>
      </c>
      <c r="S222" s="19">
        <v>46398</v>
      </c>
      <c r="T222" s="19">
        <v>45868</v>
      </c>
      <c r="U222" s="45">
        <f t="shared" si="32"/>
        <v>530</v>
      </c>
      <c r="V222" s="45" t="str">
        <f t="shared" si="33"/>
        <v>Not Expired</v>
      </c>
      <c r="W222" s="45" t="str">
        <f t="shared" si="34"/>
        <v>Not Expire</v>
      </c>
      <c r="X222" s="3" t="s">
        <v>280</v>
      </c>
      <c r="Y222" s="3" t="str">
        <f>VLOOKUP(O222,[5]Working!$F:$Q,12,0)</f>
        <v>DFIPL Purchase</v>
      </c>
    </row>
    <row r="223" spans="1:28" ht="18.600000000000001" customHeight="1" x14ac:dyDescent="0.3">
      <c r="B223" s="2" t="s">
        <v>182</v>
      </c>
      <c r="C223" s="13" t="s">
        <v>180</v>
      </c>
      <c r="D223" s="2" t="s">
        <v>11</v>
      </c>
      <c r="E223" s="2" t="s">
        <v>12</v>
      </c>
      <c r="F223" s="2">
        <v>1.8</v>
      </c>
      <c r="G223" s="2">
        <v>1</v>
      </c>
      <c r="H223" s="2">
        <f t="shared" si="35"/>
        <v>1.8</v>
      </c>
      <c r="I223" s="2"/>
      <c r="J223" s="2">
        <v>0</v>
      </c>
      <c r="K223" s="2">
        <f t="shared" si="27"/>
        <v>0</v>
      </c>
      <c r="L223" s="2">
        <f t="shared" si="28"/>
        <v>0</v>
      </c>
      <c r="M223" s="2">
        <f t="shared" si="29"/>
        <v>1.8</v>
      </c>
      <c r="N223" t="s">
        <v>178</v>
      </c>
      <c r="O223" s="18">
        <v>3896596</v>
      </c>
      <c r="P223" s="2" t="s">
        <v>26</v>
      </c>
      <c r="Q223" s="2">
        <v>1</v>
      </c>
      <c r="R223" s="19">
        <v>45770</v>
      </c>
      <c r="S223" s="19">
        <v>47230</v>
      </c>
      <c r="T223" s="19">
        <v>45868</v>
      </c>
      <c r="U223" s="45">
        <f t="shared" si="32"/>
        <v>1362</v>
      </c>
      <c r="V223" s="45" t="str">
        <f t="shared" si="33"/>
        <v>Not Expired</v>
      </c>
      <c r="W223" s="45" t="str">
        <f t="shared" si="34"/>
        <v>Not Expire</v>
      </c>
      <c r="X223" s="3" t="s">
        <v>280</v>
      </c>
      <c r="Y223" s="3" t="str">
        <f>VLOOKUP(O223,[5]Working!$F:$Q,12,0)</f>
        <v>DFIPL Purchase</v>
      </c>
    </row>
    <row r="224" spans="1:28" ht="18.600000000000001" customHeight="1" x14ac:dyDescent="0.3">
      <c r="B224" s="2" t="s">
        <v>194</v>
      </c>
      <c r="C224" s="13" t="s">
        <v>192</v>
      </c>
      <c r="D224" s="2" t="s">
        <v>11</v>
      </c>
      <c r="E224" s="2" t="s">
        <v>12</v>
      </c>
      <c r="F224" s="2">
        <v>1.8</v>
      </c>
      <c r="G224" s="2">
        <v>1</v>
      </c>
      <c r="H224" s="2">
        <f t="shared" si="35"/>
        <v>1.8</v>
      </c>
      <c r="I224" s="2"/>
      <c r="J224" s="2">
        <v>0</v>
      </c>
      <c r="K224" s="2">
        <f t="shared" si="27"/>
        <v>0</v>
      </c>
      <c r="L224" s="2">
        <f t="shared" si="28"/>
        <v>0</v>
      </c>
      <c r="M224" s="2">
        <f t="shared" si="29"/>
        <v>1.8</v>
      </c>
      <c r="N224" t="s">
        <v>178</v>
      </c>
      <c r="O224" s="18">
        <v>3896596</v>
      </c>
      <c r="P224" s="2" t="s">
        <v>26</v>
      </c>
      <c r="Q224" s="2">
        <v>1</v>
      </c>
      <c r="R224" s="19">
        <v>45770</v>
      </c>
      <c r="S224" s="19">
        <v>47230</v>
      </c>
      <c r="T224" s="19">
        <v>45868</v>
      </c>
      <c r="U224" s="45">
        <f t="shared" si="32"/>
        <v>1362</v>
      </c>
      <c r="V224" s="45" t="str">
        <f t="shared" si="33"/>
        <v>Not Expired</v>
      </c>
      <c r="W224" s="45" t="str">
        <f t="shared" si="34"/>
        <v>Not Expire</v>
      </c>
      <c r="X224" s="3" t="s">
        <v>280</v>
      </c>
      <c r="Y224" s="3" t="str">
        <f>VLOOKUP(O224,[5]Working!$F:$Q,12,0)</f>
        <v>DFIPL Purchase</v>
      </c>
    </row>
    <row r="225" spans="1:25" ht="18.600000000000001" customHeight="1" x14ac:dyDescent="0.3">
      <c r="B225" s="2" t="s">
        <v>195</v>
      </c>
      <c r="C225" s="13" t="s">
        <v>193</v>
      </c>
      <c r="D225" s="2" t="s">
        <v>11</v>
      </c>
      <c r="E225" s="2" t="s">
        <v>12</v>
      </c>
      <c r="F225" s="2">
        <v>1.8</v>
      </c>
      <c r="G225" s="2">
        <v>1</v>
      </c>
      <c r="H225" s="2">
        <f t="shared" si="35"/>
        <v>1.8</v>
      </c>
      <c r="I225" s="2"/>
      <c r="J225" s="2">
        <v>0</v>
      </c>
      <c r="K225" s="2">
        <f t="shared" si="27"/>
        <v>0</v>
      </c>
      <c r="L225" s="2">
        <f t="shared" si="28"/>
        <v>0</v>
      </c>
      <c r="M225" s="2">
        <f t="shared" si="29"/>
        <v>1.8</v>
      </c>
      <c r="N225" t="s">
        <v>178</v>
      </c>
      <c r="O225" s="18">
        <v>3896596</v>
      </c>
      <c r="P225" s="2" t="s">
        <v>26</v>
      </c>
      <c r="Q225" s="2">
        <v>1</v>
      </c>
      <c r="R225" s="19">
        <v>45770</v>
      </c>
      <c r="S225" s="19">
        <v>47230</v>
      </c>
      <c r="T225" s="19">
        <v>45868</v>
      </c>
      <c r="U225" s="45">
        <f t="shared" si="32"/>
        <v>1362</v>
      </c>
      <c r="V225" s="45" t="str">
        <f t="shared" si="33"/>
        <v>Not Expired</v>
      </c>
      <c r="W225" s="45" t="str">
        <f t="shared" si="34"/>
        <v>Not Expire</v>
      </c>
      <c r="X225" s="3" t="s">
        <v>280</v>
      </c>
      <c r="Y225" s="3" t="str">
        <f>VLOOKUP(O225,[5]Working!$F:$Q,12,0)</f>
        <v>DFIPL Purchase</v>
      </c>
    </row>
    <row r="226" spans="1:25" ht="18.600000000000001" customHeight="1" x14ac:dyDescent="0.3">
      <c r="A226" s="27"/>
      <c r="B226" s="2" t="s">
        <v>175</v>
      </c>
      <c r="C226" s="2" t="s">
        <v>86</v>
      </c>
      <c r="D226" s="2" t="s">
        <v>24</v>
      </c>
      <c r="E226" s="2" t="s">
        <v>12</v>
      </c>
      <c r="F226" s="2">
        <v>7.5</v>
      </c>
      <c r="G226" s="2">
        <v>19</v>
      </c>
      <c r="H226" s="2">
        <f t="shared" si="35"/>
        <v>142.5</v>
      </c>
      <c r="I226" s="2"/>
      <c r="J226" s="2">
        <v>0</v>
      </c>
      <c r="K226" s="2">
        <f t="shared" si="27"/>
        <v>0</v>
      </c>
      <c r="L226" s="2">
        <f t="shared" si="28"/>
        <v>0</v>
      </c>
      <c r="M226" s="2">
        <f t="shared" si="29"/>
        <v>142.5</v>
      </c>
      <c r="N226" s="2" t="s">
        <v>178</v>
      </c>
      <c r="O226" s="18">
        <v>3936078</v>
      </c>
      <c r="P226" s="2" t="s">
        <v>19</v>
      </c>
      <c r="Q226" s="2">
        <v>3</v>
      </c>
      <c r="R226" s="19">
        <v>45807</v>
      </c>
      <c r="S226" s="19">
        <v>46527</v>
      </c>
      <c r="T226" s="19">
        <v>45868</v>
      </c>
      <c r="U226" s="45">
        <f t="shared" si="32"/>
        <v>659</v>
      </c>
      <c r="V226" s="45" t="str">
        <f t="shared" si="33"/>
        <v>Not Expired</v>
      </c>
      <c r="W226" s="45" t="str">
        <f t="shared" si="34"/>
        <v>Not Expire</v>
      </c>
      <c r="X226" s="3" t="s">
        <v>280</v>
      </c>
      <c r="Y226" s="3" t="str">
        <f>VLOOKUP(O226,[5]Working!$F:$Q,12,0)</f>
        <v>DFIPL Purchase</v>
      </c>
    </row>
    <row r="227" spans="1:25" ht="18.600000000000001" customHeight="1" x14ac:dyDescent="0.3">
      <c r="B227" s="2" t="s">
        <v>202</v>
      </c>
      <c r="C227" s="13" t="s">
        <v>200</v>
      </c>
      <c r="D227" s="33" t="s">
        <v>11</v>
      </c>
      <c r="E227" s="33" t="s">
        <v>12</v>
      </c>
      <c r="F227" s="18">
        <v>1.8</v>
      </c>
      <c r="G227" s="18">
        <v>1</v>
      </c>
      <c r="H227" s="18">
        <f t="shared" si="35"/>
        <v>1.8</v>
      </c>
      <c r="I227" s="18"/>
      <c r="J227" s="18">
        <v>0</v>
      </c>
      <c r="K227" s="2">
        <f t="shared" si="27"/>
        <v>0</v>
      </c>
      <c r="L227" s="2">
        <f t="shared" si="28"/>
        <v>0</v>
      </c>
      <c r="M227" s="2">
        <f t="shared" si="29"/>
        <v>1.8</v>
      </c>
      <c r="N227" s="18" t="s">
        <v>178</v>
      </c>
      <c r="O227" s="18">
        <v>3937843</v>
      </c>
      <c r="P227" s="33" t="s">
        <v>26</v>
      </c>
      <c r="Q227" s="18">
        <v>1</v>
      </c>
      <c r="R227" s="40">
        <v>45807</v>
      </c>
      <c r="S227" s="40">
        <v>47267</v>
      </c>
      <c r="T227" s="19">
        <v>45868</v>
      </c>
      <c r="U227" s="45">
        <f t="shared" si="32"/>
        <v>1399</v>
      </c>
      <c r="V227" s="45" t="str">
        <f t="shared" si="33"/>
        <v>Not Expired</v>
      </c>
      <c r="W227" s="45" t="str">
        <f t="shared" si="34"/>
        <v>Not Expire</v>
      </c>
      <c r="X227" s="3" t="s">
        <v>280</v>
      </c>
      <c r="Y227" s="3" t="str">
        <f>VLOOKUP(O227,[5]Working!$F:$Q,12,0)</f>
        <v>DFIPL Purchase</v>
      </c>
    </row>
    <row r="228" spans="1:25" ht="18.600000000000001" hidden="1" customHeight="1" x14ac:dyDescent="0.3">
      <c r="B228" s="2" t="s">
        <v>206</v>
      </c>
      <c r="C228" s="2" t="s">
        <v>206</v>
      </c>
      <c r="D228" s="2" t="s">
        <v>11</v>
      </c>
      <c r="E228" s="2" t="s">
        <v>12</v>
      </c>
      <c r="F228" s="41">
        <v>0.83</v>
      </c>
      <c r="G228" s="2">
        <v>4</v>
      </c>
      <c r="H228" s="2">
        <f t="shared" si="35"/>
        <v>3.32</v>
      </c>
      <c r="I228" s="2"/>
      <c r="J228" s="2">
        <v>0</v>
      </c>
      <c r="K228" s="2">
        <f t="shared" si="27"/>
        <v>0</v>
      </c>
      <c r="L228" s="2">
        <f t="shared" si="28"/>
        <v>0</v>
      </c>
      <c r="M228" s="2">
        <f t="shared" si="29"/>
        <v>3.32</v>
      </c>
      <c r="N228" s="2" t="s">
        <v>178</v>
      </c>
      <c r="O228" s="18">
        <v>3221566</v>
      </c>
      <c r="P228" s="2" t="s">
        <v>90</v>
      </c>
      <c r="Q228" s="2">
        <v>2</v>
      </c>
      <c r="R228" s="19">
        <v>45134</v>
      </c>
      <c r="S228" s="19">
        <v>46594</v>
      </c>
      <c r="T228" s="19">
        <v>45868</v>
      </c>
      <c r="U228" s="45">
        <f t="shared" si="32"/>
        <v>726</v>
      </c>
      <c r="V228" s="45" t="str">
        <f t="shared" si="33"/>
        <v>Not Expired</v>
      </c>
      <c r="W228" s="45" t="str">
        <f t="shared" si="34"/>
        <v>Not Expire</v>
      </c>
      <c r="X228" s="3" t="s">
        <v>281</v>
      </c>
      <c r="Y228" s="3"/>
    </row>
  </sheetData>
  <autoFilter ref="A2:AB229" xr:uid="{D3D5F359-B4C3-491A-8E8A-3F852C839529}">
    <filterColumn colId="23">
      <filters blank="1">
        <filter val="#N/A"/>
        <filter val="DFIPL Purchase"/>
      </filters>
    </filterColumn>
  </autoFilter>
  <pageMargins left="0.35433070866141736" right="0.19685039370078741" top="0.74803149606299213" bottom="0.74803149606299213" header="0.31496062992125984" footer="0.31496062992125984"/>
  <pageSetup paperSize="9" scale="53" orientation="landscape" r:id="rId1"/>
  <rowBreaks count="2" manualBreakCount="2">
    <brk id="96" max="10" man="1"/>
    <brk id="142" max="10" man="1"/>
  </rowBreaks>
  <ignoredErrors>
    <ignoredError sqref="M1 M149" evalError="1"/>
    <ignoredError sqref="I19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BBBB-3927-4C73-A6DB-505AC418B90D}">
  <dimension ref="A1:E18"/>
  <sheetViews>
    <sheetView zoomScale="128" workbookViewId="0">
      <selection activeCell="C18" sqref="C18"/>
    </sheetView>
  </sheetViews>
  <sheetFormatPr defaultRowHeight="14.4" x14ac:dyDescent="0.3"/>
  <cols>
    <col min="1" max="1" width="36.33203125" bestFit="1" customWidth="1"/>
    <col min="2" max="2" width="6.88671875" bestFit="1" customWidth="1"/>
  </cols>
  <sheetData>
    <row r="1" spans="1:5" x14ac:dyDescent="0.3">
      <c r="A1" t="s">
        <v>203</v>
      </c>
      <c r="B1" t="s">
        <v>204</v>
      </c>
    </row>
    <row r="2" spans="1:5" x14ac:dyDescent="0.3">
      <c r="A2" s="46" t="s">
        <v>258</v>
      </c>
      <c r="B2" s="14">
        <v>167</v>
      </c>
      <c r="C2" s="14">
        <f>B2/16.7</f>
        <v>10</v>
      </c>
      <c r="D2" s="14" t="s">
        <v>177</v>
      </c>
    </row>
    <row r="3" spans="1:5" x14ac:dyDescent="0.3">
      <c r="A3" s="17" t="s">
        <v>257</v>
      </c>
      <c r="B3">
        <v>33</v>
      </c>
      <c r="C3">
        <f>B3/3.3</f>
        <v>10</v>
      </c>
      <c r="D3" t="s">
        <v>177</v>
      </c>
    </row>
    <row r="4" spans="1:5" x14ac:dyDescent="0.3">
      <c r="A4" s="17" t="s">
        <v>273</v>
      </c>
      <c r="B4">
        <v>67.2</v>
      </c>
      <c r="C4">
        <f>B4/16.81</f>
        <v>3.9976204640095188</v>
      </c>
      <c r="D4" t="s">
        <v>177</v>
      </c>
    </row>
    <row r="5" spans="1:5" x14ac:dyDescent="0.3">
      <c r="A5" s="17" t="s">
        <v>190</v>
      </c>
      <c r="B5">
        <v>7.2</v>
      </c>
      <c r="C5">
        <f>B5/1.8</f>
        <v>4</v>
      </c>
    </row>
    <row r="6" spans="1:5" x14ac:dyDescent="0.3">
      <c r="A6" s="17" t="s">
        <v>269</v>
      </c>
      <c r="B6">
        <v>368.82</v>
      </c>
      <c r="C6">
        <f>B6/16.02</f>
        <v>23.022471910112358</v>
      </c>
      <c r="D6" t="s">
        <v>177</v>
      </c>
    </row>
    <row r="7" spans="1:5" x14ac:dyDescent="0.3">
      <c r="A7" s="46" t="s">
        <v>271</v>
      </c>
      <c r="B7" s="14">
        <v>50.6</v>
      </c>
      <c r="C7" s="14">
        <f>B7/2.2</f>
        <v>23</v>
      </c>
      <c r="D7" s="14" t="s">
        <v>177</v>
      </c>
    </row>
    <row r="8" spans="1:5" x14ac:dyDescent="0.3">
      <c r="A8" s="46" t="s">
        <v>249</v>
      </c>
      <c r="B8" s="14">
        <v>200</v>
      </c>
      <c r="C8" s="14">
        <f>B8/20</f>
        <v>10</v>
      </c>
      <c r="D8" s="14" t="s">
        <v>177</v>
      </c>
      <c r="E8">
        <v>6</v>
      </c>
    </row>
    <row r="9" spans="1:5" x14ac:dyDescent="0.3">
      <c r="A9" s="46" t="s">
        <v>218</v>
      </c>
      <c r="B9" s="14">
        <v>440</v>
      </c>
      <c r="C9" s="14">
        <f>B9/20</f>
        <v>22</v>
      </c>
      <c r="D9" s="14" t="s">
        <v>177</v>
      </c>
    </row>
    <row r="10" spans="1:5" x14ac:dyDescent="0.3">
      <c r="A10" s="17" t="s">
        <v>175</v>
      </c>
      <c r="B10">
        <v>9</v>
      </c>
      <c r="C10">
        <f>B10/9</f>
        <v>1</v>
      </c>
      <c r="D10" t="s">
        <v>177</v>
      </c>
    </row>
    <row r="11" spans="1:5" x14ac:dyDescent="0.3">
      <c r="A11" s="17" t="s">
        <v>188</v>
      </c>
      <c r="B11">
        <v>1.25</v>
      </c>
      <c r="C11">
        <v>1</v>
      </c>
      <c r="D11" t="s">
        <v>177</v>
      </c>
    </row>
    <row r="12" spans="1:5" x14ac:dyDescent="0.3">
      <c r="A12" s="17" t="s">
        <v>247</v>
      </c>
      <c r="B12">
        <v>464</v>
      </c>
      <c r="C12">
        <f>B12/16</f>
        <v>29</v>
      </c>
      <c r="D12" t="s">
        <v>177</v>
      </c>
    </row>
    <row r="13" spans="1:5" x14ac:dyDescent="0.3">
      <c r="A13" s="46" t="s">
        <v>250</v>
      </c>
      <c r="B13" s="14">
        <v>100</v>
      </c>
      <c r="C13" s="14">
        <f>B13/4</f>
        <v>25</v>
      </c>
      <c r="D13" s="14" t="s">
        <v>177</v>
      </c>
    </row>
    <row r="14" spans="1:5" x14ac:dyDescent="0.3">
      <c r="A14" s="17" t="s">
        <v>209</v>
      </c>
      <c r="B14">
        <v>2144</v>
      </c>
      <c r="C14">
        <f>B14/16</f>
        <v>134</v>
      </c>
      <c r="D14" t="s">
        <v>177</v>
      </c>
    </row>
    <row r="15" spans="1:5" x14ac:dyDescent="0.3">
      <c r="A15" s="17" t="s">
        <v>198</v>
      </c>
      <c r="B15">
        <v>552</v>
      </c>
      <c r="C15">
        <f>B15/4</f>
        <v>138</v>
      </c>
      <c r="D15" t="s">
        <v>177</v>
      </c>
    </row>
    <row r="16" spans="1:5" x14ac:dyDescent="0.3">
      <c r="A16" s="17" t="s">
        <v>222</v>
      </c>
      <c r="B16">
        <v>208</v>
      </c>
      <c r="C16">
        <f>B16/16</f>
        <v>13</v>
      </c>
      <c r="D16" t="s">
        <v>177</v>
      </c>
    </row>
    <row r="17" spans="1:4" x14ac:dyDescent="0.3">
      <c r="A17" s="17" t="s">
        <v>199</v>
      </c>
      <c r="B17">
        <v>52</v>
      </c>
      <c r="C17">
        <f>B17/4</f>
        <v>13</v>
      </c>
    </row>
    <row r="18" spans="1:4" x14ac:dyDescent="0.3">
      <c r="B18">
        <f>SUM(B2:B17)</f>
        <v>4864.07</v>
      </c>
      <c r="C18" s="1">
        <f>Working!K1</f>
        <v>14448.21</v>
      </c>
      <c r="D18" s="1">
        <f>C18-B18</f>
        <v>9584.14</v>
      </c>
    </row>
  </sheetData>
  <autoFilter ref="A1:D17" xr:uid="{9E34BBBB-3927-4C73-A6DB-505AC418B90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F756-D08E-4C30-A60A-67CD5CC43E2F}">
  <dimension ref="A3:F34"/>
  <sheetViews>
    <sheetView workbookViewId="0">
      <selection activeCell="H35" sqref="H35"/>
    </sheetView>
  </sheetViews>
  <sheetFormatPr defaultRowHeight="14.4" x14ac:dyDescent="0.3"/>
  <cols>
    <col min="1" max="2" width="35.5546875" bestFit="1" customWidth="1"/>
    <col min="3" max="3" width="13.33203125" bestFit="1" customWidth="1"/>
    <col min="4" max="4" width="17.88671875" style="4" bestFit="1" customWidth="1"/>
    <col min="5" max="5" width="18.88671875" style="4" bestFit="1" customWidth="1"/>
    <col min="6" max="6" width="19" bestFit="1" customWidth="1"/>
  </cols>
  <sheetData>
    <row r="3" spans="1:6" x14ac:dyDescent="0.3">
      <c r="A3" s="5" t="s">
        <v>138</v>
      </c>
      <c r="B3" s="5" t="s">
        <v>120</v>
      </c>
      <c r="C3" s="5" t="s">
        <v>8</v>
      </c>
      <c r="D3" s="6" t="s">
        <v>128</v>
      </c>
      <c r="E3" s="6" t="s">
        <v>129</v>
      </c>
      <c r="F3" s="9" t="s">
        <v>141</v>
      </c>
    </row>
    <row r="4" spans="1:6" x14ac:dyDescent="0.3">
      <c r="A4" s="2" t="s">
        <v>124</v>
      </c>
      <c r="B4" s="2" t="s">
        <v>130</v>
      </c>
      <c r="C4" s="2" t="s">
        <v>59</v>
      </c>
      <c r="D4" s="6">
        <v>12</v>
      </c>
      <c r="E4" s="6">
        <v>102</v>
      </c>
      <c r="F4" s="2"/>
    </row>
    <row r="5" spans="1:6" x14ac:dyDescent="0.3">
      <c r="A5" s="2" t="s">
        <v>124</v>
      </c>
      <c r="B5" s="2" t="s">
        <v>130</v>
      </c>
      <c r="C5" s="2" t="s">
        <v>15</v>
      </c>
      <c r="D5" s="6">
        <v>12</v>
      </c>
      <c r="E5" s="6">
        <v>179.71999999999997</v>
      </c>
      <c r="F5" s="2"/>
    </row>
    <row r="6" spans="1:6" x14ac:dyDescent="0.3">
      <c r="A6" s="2" t="s">
        <v>124</v>
      </c>
      <c r="B6" s="2" t="s">
        <v>130</v>
      </c>
      <c r="C6" s="2" t="s">
        <v>90</v>
      </c>
      <c r="D6" s="6">
        <v>1</v>
      </c>
      <c r="E6" s="6">
        <v>9</v>
      </c>
      <c r="F6" s="2"/>
    </row>
    <row r="7" spans="1:6" x14ac:dyDescent="0.3">
      <c r="A7" s="2" t="s">
        <v>124</v>
      </c>
      <c r="B7" s="2" t="s">
        <v>130</v>
      </c>
      <c r="C7" s="2" t="s">
        <v>73</v>
      </c>
      <c r="D7" s="6">
        <v>13</v>
      </c>
      <c r="E7" s="6">
        <v>220</v>
      </c>
      <c r="F7" s="2"/>
    </row>
    <row r="8" spans="1:6" x14ac:dyDescent="0.3">
      <c r="A8" s="2" t="s">
        <v>124</v>
      </c>
      <c r="B8" s="2" t="s">
        <v>130</v>
      </c>
      <c r="C8" s="2" t="s">
        <v>89</v>
      </c>
      <c r="D8" s="6">
        <v>13</v>
      </c>
      <c r="E8" s="6">
        <v>159.30000000000001</v>
      </c>
      <c r="F8" s="2"/>
    </row>
    <row r="9" spans="1:6" x14ac:dyDescent="0.3">
      <c r="A9" s="2" t="s">
        <v>124</v>
      </c>
      <c r="B9" s="2" t="s">
        <v>130</v>
      </c>
      <c r="C9" s="2" t="s">
        <v>45</v>
      </c>
      <c r="D9" s="6">
        <v>18</v>
      </c>
      <c r="E9" s="6">
        <v>302.86</v>
      </c>
      <c r="F9" s="2"/>
    </row>
    <row r="10" spans="1:6" x14ac:dyDescent="0.3">
      <c r="A10" s="2" t="s">
        <v>124</v>
      </c>
      <c r="B10" s="2" t="s">
        <v>130</v>
      </c>
      <c r="C10" s="2" t="s">
        <v>139</v>
      </c>
      <c r="D10" s="6">
        <v>1</v>
      </c>
      <c r="E10" s="6">
        <v>2.25</v>
      </c>
      <c r="F10" s="47"/>
    </row>
    <row r="11" spans="1:6" x14ac:dyDescent="0.3">
      <c r="A11" s="2" t="s">
        <v>124</v>
      </c>
      <c r="B11" s="2" t="s">
        <v>131</v>
      </c>
      <c r="C11" s="2"/>
      <c r="D11" s="6">
        <v>70</v>
      </c>
      <c r="E11" s="6">
        <v>975.13</v>
      </c>
      <c r="F11" s="2"/>
    </row>
    <row r="12" spans="1:6" x14ac:dyDescent="0.3">
      <c r="A12" s="2" t="s">
        <v>124</v>
      </c>
      <c r="B12" s="2" t="s">
        <v>132</v>
      </c>
      <c r="C12" s="2" t="s">
        <v>90</v>
      </c>
      <c r="D12" s="6">
        <v>8</v>
      </c>
      <c r="E12" s="6">
        <v>128</v>
      </c>
      <c r="F12" s="2"/>
    </row>
    <row r="13" spans="1:6" x14ac:dyDescent="0.3">
      <c r="A13" s="2" t="s">
        <v>124</v>
      </c>
      <c r="B13" s="2" t="s">
        <v>132</v>
      </c>
      <c r="C13" s="2" t="s">
        <v>89</v>
      </c>
      <c r="D13" s="6">
        <v>6</v>
      </c>
      <c r="E13" s="6">
        <v>47.6</v>
      </c>
      <c r="F13" s="47"/>
    </row>
    <row r="14" spans="1:6" x14ac:dyDescent="0.3">
      <c r="A14" s="2" t="s">
        <v>124</v>
      </c>
      <c r="B14" s="2" t="s">
        <v>133</v>
      </c>
      <c r="C14" s="2"/>
      <c r="D14" s="6">
        <v>14</v>
      </c>
      <c r="E14" s="6">
        <v>175.6</v>
      </c>
      <c r="F14" s="48">
        <f>E14/$E$29</f>
        <v>4.1100692460066274E-3</v>
      </c>
    </row>
    <row r="15" spans="1:6" x14ac:dyDescent="0.3">
      <c r="A15" s="7" t="s">
        <v>126</v>
      </c>
      <c r="B15" s="7"/>
      <c r="C15" s="7"/>
      <c r="D15" s="8">
        <v>84</v>
      </c>
      <c r="E15" s="8">
        <v>1150.73</v>
      </c>
      <c r="F15" s="2"/>
    </row>
    <row r="16" spans="1:6" x14ac:dyDescent="0.3">
      <c r="A16" s="2" t="s">
        <v>125</v>
      </c>
      <c r="B16" s="2" t="s">
        <v>134</v>
      </c>
      <c r="C16" s="2" t="s">
        <v>15</v>
      </c>
      <c r="D16" s="6">
        <v>43</v>
      </c>
      <c r="E16" s="6">
        <v>329</v>
      </c>
      <c r="F16" s="2"/>
    </row>
    <row r="17" spans="1:6" x14ac:dyDescent="0.3">
      <c r="A17" s="2" t="s">
        <v>125</v>
      </c>
      <c r="B17" s="2" t="s">
        <v>134</v>
      </c>
      <c r="C17" s="2" t="s">
        <v>89</v>
      </c>
      <c r="D17" s="6">
        <v>35</v>
      </c>
      <c r="E17" s="6">
        <v>242.39999999999998</v>
      </c>
      <c r="F17" s="2"/>
    </row>
    <row r="18" spans="1:6" x14ac:dyDescent="0.3">
      <c r="A18" s="2" t="s">
        <v>125</v>
      </c>
      <c r="B18" s="2" t="s">
        <v>135</v>
      </c>
      <c r="C18" s="2"/>
      <c r="D18" s="6">
        <v>78</v>
      </c>
      <c r="E18" s="6">
        <v>571.4</v>
      </c>
      <c r="F18" s="47"/>
    </row>
    <row r="19" spans="1:6" x14ac:dyDescent="0.3">
      <c r="A19" s="2" t="s">
        <v>125</v>
      </c>
      <c r="B19" s="2" t="s">
        <v>136</v>
      </c>
      <c r="C19" s="2" t="s">
        <v>26</v>
      </c>
      <c r="D19" s="6">
        <v>1032</v>
      </c>
      <c r="E19" s="6">
        <v>10759.620999999996</v>
      </c>
      <c r="F19" s="2"/>
    </row>
    <row r="20" spans="1:6" x14ac:dyDescent="0.3">
      <c r="A20" s="2" t="s">
        <v>125</v>
      </c>
      <c r="B20" s="2" t="s">
        <v>136</v>
      </c>
      <c r="C20" s="2" t="s">
        <v>59</v>
      </c>
      <c r="D20" s="6">
        <v>728</v>
      </c>
      <c r="E20" s="6">
        <v>7585</v>
      </c>
      <c r="F20" s="2"/>
    </row>
    <row r="21" spans="1:6" x14ac:dyDescent="0.3">
      <c r="A21" s="2" t="s">
        <v>125</v>
      </c>
      <c r="B21" s="2" t="s">
        <v>136</v>
      </c>
      <c r="C21" s="2" t="s">
        <v>15</v>
      </c>
      <c r="D21" s="6">
        <v>149</v>
      </c>
      <c r="E21" s="6">
        <v>1657.2199999999998</v>
      </c>
      <c r="F21" s="2"/>
    </row>
    <row r="22" spans="1:6" x14ac:dyDescent="0.3">
      <c r="A22" s="2" t="s">
        <v>125</v>
      </c>
      <c r="B22" s="2" t="s">
        <v>136</v>
      </c>
      <c r="C22" s="2" t="s">
        <v>18</v>
      </c>
      <c r="D22" s="6">
        <v>974</v>
      </c>
      <c r="E22" s="6">
        <v>10076.85</v>
      </c>
      <c r="F22" s="2"/>
    </row>
    <row r="23" spans="1:6" x14ac:dyDescent="0.3">
      <c r="A23" s="2" t="s">
        <v>125</v>
      </c>
      <c r="B23" s="2" t="s">
        <v>136</v>
      </c>
      <c r="C23" s="2" t="s">
        <v>90</v>
      </c>
      <c r="D23" s="6">
        <v>32</v>
      </c>
      <c r="E23" s="6">
        <v>421.2</v>
      </c>
      <c r="F23" s="2"/>
    </row>
    <row r="24" spans="1:6" x14ac:dyDescent="0.3">
      <c r="A24" s="2" t="s">
        <v>125</v>
      </c>
      <c r="B24" s="2" t="s">
        <v>136</v>
      </c>
      <c r="C24" s="2" t="s">
        <v>89</v>
      </c>
      <c r="D24" s="6">
        <v>293</v>
      </c>
      <c r="E24" s="6">
        <v>3190.2000000000003</v>
      </c>
      <c r="F24" s="2"/>
    </row>
    <row r="25" spans="1:6" x14ac:dyDescent="0.3">
      <c r="A25" s="2" t="s">
        <v>125</v>
      </c>
      <c r="B25" s="2" t="s">
        <v>136</v>
      </c>
      <c r="C25" s="2" t="s">
        <v>19</v>
      </c>
      <c r="D25" s="6">
        <v>809</v>
      </c>
      <c r="E25" s="6">
        <v>8450.25</v>
      </c>
      <c r="F25" s="2"/>
    </row>
    <row r="26" spans="1:6" x14ac:dyDescent="0.3">
      <c r="A26" s="2" t="s">
        <v>125</v>
      </c>
      <c r="B26" s="2" t="s">
        <v>136</v>
      </c>
      <c r="C26" s="2" t="s">
        <v>139</v>
      </c>
      <c r="D26" s="6">
        <v>1</v>
      </c>
      <c r="E26" s="6">
        <v>9</v>
      </c>
      <c r="F26" s="2"/>
    </row>
    <row r="27" spans="1:6" x14ac:dyDescent="0.3">
      <c r="A27" s="2" t="s">
        <v>125</v>
      </c>
      <c r="B27" s="2" t="s">
        <v>136</v>
      </c>
      <c r="C27" s="2" t="s">
        <v>140</v>
      </c>
      <c r="D27" s="6">
        <v>2</v>
      </c>
      <c r="E27" s="6">
        <v>3.6</v>
      </c>
      <c r="F27" s="47"/>
    </row>
    <row r="28" spans="1:6" x14ac:dyDescent="0.3">
      <c r="A28" s="2" t="s">
        <v>125</v>
      </c>
      <c r="B28" s="2" t="s">
        <v>137</v>
      </c>
      <c r="C28" s="2"/>
      <c r="D28" s="6">
        <v>4020</v>
      </c>
      <c r="E28" s="6">
        <v>42152.940999999999</v>
      </c>
      <c r="F28" s="48">
        <f>E28/$E$29</f>
        <v>0.98662589084756169</v>
      </c>
    </row>
    <row r="29" spans="1:6" x14ac:dyDescent="0.3">
      <c r="A29" s="7" t="s">
        <v>127</v>
      </c>
      <c r="B29" s="7"/>
      <c r="C29" s="7"/>
      <c r="D29" s="8">
        <v>4098</v>
      </c>
      <c r="E29" s="8">
        <v>42724.340999999993</v>
      </c>
      <c r="F29" s="9"/>
    </row>
    <row r="30" spans="1:6" x14ac:dyDescent="0.3">
      <c r="A30" s="2" t="s">
        <v>155</v>
      </c>
      <c r="B30" s="2" t="s">
        <v>155</v>
      </c>
      <c r="C30" s="2" t="s">
        <v>155</v>
      </c>
      <c r="D30" s="6"/>
      <c r="E30" s="6"/>
    </row>
    <row r="31" spans="1:6" x14ac:dyDescent="0.3">
      <c r="A31" s="2" t="s">
        <v>155</v>
      </c>
      <c r="B31" s="2" t="s">
        <v>156</v>
      </c>
      <c r="C31" s="2"/>
      <c r="D31" s="6"/>
      <c r="E31" s="6"/>
    </row>
    <row r="32" spans="1:6" x14ac:dyDescent="0.3">
      <c r="A32" s="2" t="s">
        <v>156</v>
      </c>
      <c r="B32" s="2"/>
      <c r="C32" s="2"/>
      <c r="D32" s="6"/>
      <c r="E32" s="6"/>
    </row>
    <row r="33" spans="1:5" x14ac:dyDescent="0.3">
      <c r="A33" s="2" t="s">
        <v>123</v>
      </c>
      <c r="B33" s="2"/>
      <c r="C33" s="2"/>
      <c r="D33" s="6">
        <v>4182</v>
      </c>
      <c r="E33" s="6">
        <v>43875.070999999996</v>
      </c>
    </row>
    <row r="34" spans="1:5" x14ac:dyDescent="0.3">
      <c r="D34"/>
      <c r="E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631A546-2565-4D8F-BC56-EF8372296AC8}">
  <ds:schemaRefs/>
</ds:datastoreItem>
</file>

<file path=customXml/itemProps2.xml><?xml version="1.0" encoding="utf-8"?>
<ds:datastoreItem xmlns:ds="http://schemas.openxmlformats.org/officeDocument/2006/customXml" ds:itemID="{B7481575-BCC4-48A5-9247-951D0E7AD44D}">
  <ds:schemaRefs/>
</ds:datastoreItem>
</file>

<file path=customXml/itemProps3.xml><?xml version="1.0" encoding="utf-8"?>
<ds:datastoreItem xmlns:ds="http://schemas.openxmlformats.org/officeDocument/2006/customXml" ds:itemID="{57250ABD-D7C8-4F29-BA06-2A5C2FB2A44A}">
  <ds:schemaRefs/>
</ds:datastoreItem>
</file>

<file path=customXml/itemProps4.xml><?xml version="1.0" encoding="utf-8"?>
<ds:datastoreItem xmlns:ds="http://schemas.openxmlformats.org/officeDocument/2006/customXml" ds:itemID="{EE7BC44C-2BFC-4A4F-9D7A-0CCFBDFC5D86}">
  <ds:schemaRefs/>
</ds:datastoreItem>
</file>

<file path=customXml/itemProps5.xml><?xml version="1.0" encoding="utf-8"?>
<ds:datastoreItem xmlns:ds="http://schemas.openxmlformats.org/officeDocument/2006/customXml" ds:itemID="{07C3B86A-00F7-426E-A3EF-8207BDC812D1}">
  <ds:schemaRefs/>
</ds:datastoreItem>
</file>

<file path=customXml/itemProps6.xml><?xml version="1.0" encoding="utf-8"?>
<ds:datastoreItem xmlns:ds="http://schemas.openxmlformats.org/officeDocument/2006/customXml" ds:itemID="{B85153E3-C8B4-4B37-A63D-469F61494EB4}">
  <ds:schemaRefs/>
</ds:datastoreItem>
</file>

<file path=customXml/itemProps7.xml><?xml version="1.0" encoding="utf-8"?>
<ds:datastoreItem xmlns:ds="http://schemas.openxmlformats.org/officeDocument/2006/customXml" ds:itemID="{0A6D864E-530A-488B-92A7-F1CB1481B46E}">
  <ds:schemaRefs/>
</ds:datastoreItem>
</file>

<file path=customXml/itemProps8.xml><?xml version="1.0" encoding="utf-8"?>
<ds:datastoreItem xmlns:ds="http://schemas.openxmlformats.org/officeDocument/2006/customXml" ds:itemID="{38D4E300-4454-422D-9197-575BA2EA128A}">
  <ds:schemaRefs/>
</ds:datastoreItem>
</file>

<file path=customXml/itemProps9.xml><?xml version="1.0" encoding="utf-8"?>
<ds:datastoreItem xmlns:ds="http://schemas.openxmlformats.org/officeDocument/2006/customXml" ds:itemID="{E6767EDB-C520-4A92-9CFB-2D9F6A7CDAFF}">
  <ds:schemaRefs/>
</ds:datastoreItem>
</file>

<file path=customXml/itemProps10.xml><?xml version="1.0" encoding="utf-8"?>
<ds:datastoreItem xmlns:ds="http://schemas.openxmlformats.org/officeDocument/2006/customXml" ds:itemID="{2F149960-1E3B-41E5-BC69-16EF8D857381}">
  <ds:schemaRefs/>
</ds:datastoreItem>
</file>

<file path=customXml/itemProps11.xml><?xml version="1.0" encoding="utf-8"?>
<ds:datastoreItem xmlns:ds="http://schemas.openxmlformats.org/officeDocument/2006/customXml" ds:itemID="{22DAB5E6-E835-44A2-A0F4-C7F4A47140C8}">
  <ds:schemaRefs/>
</ds:datastoreItem>
</file>

<file path=customXml/itemProps12.xml><?xml version="1.0" encoding="utf-8"?>
<ds:datastoreItem xmlns:ds="http://schemas.openxmlformats.org/officeDocument/2006/customXml" ds:itemID="{5978BD05-480F-4683-B8A1-A01675072846}">
  <ds:schemaRefs/>
</ds:datastoreItem>
</file>

<file path=customXml/itemProps13.xml><?xml version="1.0" encoding="utf-8"?>
<ds:datastoreItem xmlns:ds="http://schemas.openxmlformats.org/officeDocument/2006/customXml" ds:itemID="{7B4A2E3D-1281-41CA-A475-4A788C375D36}">
  <ds:schemaRefs/>
</ds:datastoreItem>
</file>

<file path=customXml/itemProps14.xml><?xml version="1.0" encoding="utf-8"?>
<ds:datastoreItem xmlns:ds="http://schemas.openxmlformats.org/officeDocument/2006/customXml" ds:itemID="{6204646E-C3E8-449F-AC87-33B67060E316}">
  <ds:schemaRefs/>
</ds:datastoreItem>
</file>

<file path=customXml/itemProps15.xml><?xml version="1.0" encoding="utf-8"?>
<ds:datastoreItem xmlns:ds="http://schemas.openxmlformats.org/officeDocument/2006/customXml" ds:itemID="{0FF4F820-E6AC-4233-B7BF-941E53D43E70}">
  <ds:schemaRefs/>
</ds:datastoreItem>
</file>

<file path=customXml/itemProps16.xml><?xml version="1.0" encoding="utf-8"?>
<ds:datastoreItem xmlns:ds="http://schemas.openxmlformats.org/officeDocument/2006/customXml" ds:itemID="{37FFDA71-C1FC-4864-9886-CC8EF0E389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Sheet5</vt:lpstr>
      <vt:lpstr>Sheet1</vt:lpstr>
      <vt:lpstr>Sheet2</vt:lpstr>
      <vt:lpstr>Working</vt:lpstr>
      <vt:lpstr>Sheet6</vt:lpstr>
      <vt:lpstr>Summary</vt:lpstr>
      <vt:lpstr>Working!Print_Area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Sharma</dc:creator>
  <cp:lastModifiedBy>Mayank Ninaniya</cp:lastModifiedBy>
  <cp:lastPrinted>2025-07-24T05:53:44Z</cp:lastPrinted>
  <dcterms:created xsi:type="dcterms:W3CDTF">2025-06-28T06:06:21Z</dcterms:created>
  <dcterms:modified xsi:type="dcterms:W3CDTF">2025-09-08T11:39:30Z</dcterms:modified>
</cp:coreProperties>
</file>